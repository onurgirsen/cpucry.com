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5.xml" ContentType="application/vnd.openxmlformats-officedocument.spreadsheetml.comments+xml"/>
  <Override PartName="/xl/comments4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drawings/vmlDrawing7.vml" ContentType="application/vnd.openxmlformats-officedocument.vmlDrawing"/>
  <Override PartName="/xl/sharedStrings.xml" ContentType="application/vnd.openxmlformats-officedocument.spreadsheetml.sharedStrings+xml"/>
  <Override PartName="/xl/comments9.xml" ContentType="application/vnd.openxmlformats-officedocument.spreadsheetml.comment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8.xml.rels" ContentType="application/vnd.openxmlformats-package.relationships+xml"/>
  <Override PartName="/xl/worksheets/_rels/sheet9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comments6.xml" ContentType="application/vnd.openxmlformats-officedocument.spreadsheetml.comments+xml"/>
  <Override PartName="/xl/styles.xml" ContentType="application/vnd.openxmlformats-officedocument.spreadsheetml.styles+xml"/>
  <Override PartName="/xl/comments3.xml" ContentType="application/vnd.openxmlformats-officedocument.spreadsheetml.comments+xml"/>
  <Override PartName="/xl/comments8.xml" ContentType="application/vnd.openxmlformats-officedocument.spreadsheetml.comments+xml"/>
  <Override PartName="/xl/theme/theme1.xml" ContentType="application/vnd.openxmlformats-officedocument.theme+xml"/>
  <Override PartName="/xl/comments10.xml" ContentType="application/vnd.openxmlformats-officedocument.spreadsheetml.comments+xml"/>
  <Override PartName="/xl/workbook.xml" ContentType="application/vnd.openxmlformats-officedocument.spreadsheetml.sheet.main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ummary" sheetId="2" state="visible" r:id="rId4"/>
    <sheet name="Drivers" sheetId="3" state="visible" r:id="rId5"/>
    <sheet name="DCF_Bull" sheetId="4" state="visible" r:id="rId6"/>
    <sheet name="DCF_Base" sheetId="5" state="visible" r:id="rId7"/>
    <sheet name="DCF_Bear" sheetId="6" state="visible" r:id="rId8"/>
    <sheet name="EPV" sheetId="7" state="visible" r:id="rId9"/>
    <sheet name="Merton" sheetId="8" state="visible" r:id="rId10"/>
    <sheet name="Comps" sheetId="9" state="visible" r:id="rId11"/>
    <sheet name="SOTP" sheetId="10" state="visible" r:id="rId12"/>
    <sheet name="Transactions_Asset" sheetId="11" state="visible" r:id="rId13"/>
    <sheet name="MonteCarlo" sheetId="12" state="visible" r:id="rId14"/>
    <sheet name="Sensitivity" sheetId="13" state="visible" r:id="rId15"/>
    <sheet name="History" sheetId="14" state="visible" r:id="rId16"/>
    <sheet name="Guidance" sheetId="15" state="visible" r:id="rId1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60" authorId="0">
      <text>
        <r>
          <rPr>
            <sz val="10"/>
            <rFont val="Arial"/>
            <family val="2"/>
          </rPr>
          <t xml:space="preserve">Base: growth creates no value (RONIC = WACC)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2026E full-year revenue (base for 2027 growth)</t>
        </r>
      </text>
    </comment>
    <comment ref="B22" authorId="0">
      <text>
        <r>
          <rPr>
            <sz val="10"/>
            <rFont val="Arial"/>
            <family val="2"/>
          </rPr>
          <t xml:space="preserve">H2-2026 FCFF from management FY26 FCF guide (haircut) + H2 cash interest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2026E full-year revenue (base for 2027 growth)</t>
        </r>
      </text>
    </comment>
    <comment ref="B22" authorId="0">
      <text>
        <r>
          <rPr>
            <sz val="10"/>
            <rFont val="Arial"/>
            <family val="2"/>
          </rPr>
          <t xml:space="preserve">H2-2026 FCFF from management FY26 FCF guide (haircut) + H2 cash interest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2026E full-year revenue (base for 2027 growth)</t>
        </r>
      </text>
    </comment>
    <comment ref="B22" authorId="0">
      <text>
        <r>
          <rPr>
            <sz val="10"/>
            <rFont val="Arial"/>
            <family val="2"/>
          </rPr>
          <t xml:space="preserve">H2-2026 FCFF from management FY26 FCF guide (haircut) + H2 cash interest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" authorId="0">
      <text>
        <r>
          <rPr>
            <sz val="10"/>
            <rFont val="Arial"/>
            <family val="2"/>
          </rPr>
          <t xml:space="preserve">Distress scenario valued at 90% of bear EV</t>
        </r>
      </text>
    </comment>
    <comment ref="B8" authorId="0">
      <text>
        <r>
          <rPr>
            <sz val="10"/>
            <rFont val="Arial"/>
            <family val="2"/>
          </rPr>
          <t xml:space="preserve">Tire-peer asset vol ~18-26%; scenario EV dispersion ~50% over 5y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0" authorId="0">
      <text>
        <r>
          <rPr>
            <sz val="10"/>
            <rFont val="Arial"/>
            <family val="2"/>
          </rPr>
          <t xml:space="preserve">10-K 2025 operating lease cost $318m</t>
        </r>
      </text>
    </comment>
    <comment ref="B35" authorId="0">
      <text>
        <r>
          <rPr>
            <sz val="10"/>
            <rFont val="Arial"/>
            <family val="2"/>
          </rPr>
          <t xml:space="preserve">Year-end 2022 4.66x, 2023 6.19x, 2024 4.35x, 2025 4.17x (data/history.csv)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" authorId="0">
      <text>
        <r>
          <rPr>
            <sz val="10"/>
            <rFont val="Arial"/>
            <family val="2"/>
          </rPr>
          <t xml:space="preserve">SOI margin 2021-25: 9.1/8.6/6.2/8.5/6.8%</t>
        </r>
      </text>
    </comment>
    <comment ref="C5" authorId="0">
      <text>
        <r>
          <rPr>
            <sz val="10"/>
            <rFont val="Arial"/>
            <family val="2"/>
          </rPr>
          <t xml:space="preserve">SOI margin 2021-25: 4.6/1.1/-0.1/1.7/2.1%</t>
        </r>
      </text>
    </comment>
    <comment ref="C6" authorId="0">
      <text>
        <r>
          <rPr>
            <sz val="10"/>
            <rFont val="Arial"/>
            <family val="2"/>
          </rPr>
          <t xml:space="preserve">SOI margin 2021-25: 6.2/5.1/8.2/11.4/10.6%; H1-26 12.6%</t>
        </r>
      </text>
    </comment>
  </commentList>
</comments>
</file>

<file path=xl/sharedStrings.xml><?xml version="1.0" encoding="utf-8"?>
<sst xmlns="http://schemas.openxmlformats.org/spreadsheetml/2006/main" count="819" uniqueCount="578">
  <si>
    <t xml:space="preserve">Goodyear (GT) - intrinsic value model</t>
  </si>
  <si>
    <t xml:space="preserve">Valuation date 2026-09-26; balance sheet 2026-06-30 (10-Q Q2-2026); price reference $5.125 (Nasdaq close 2026-09-25).</t>
  </si>
  <si>
    <t xml:space="preserve">Flow: Drivers (inputs) -&gt; DCF_Bull / DCF_Base / DCF_Bear (live FCFF DCFs) -&gt; EPV, Merton, Comps, SOTP, Transactions_Asset -&gt; Summary (probability &amp; method weights).</t>
  </si>
  <si>
    <t xml:space="preserve">Colour code: BLUE = hard-coded input, BLACK = formula, GREEN = link to another sheet, YELLOW fill = key assumption to change.</t>
  </si>
  <si>
    <t xml:space="preserve">To run your own case: edit yellow cells on Drivers (WACC used, scenario probabilities, revenue growth and SOI margin paths, capex %, restructuring, terminal growth, RONIC).</t>
  </si>
  <si>
    <t xml:space="preserve">Static (engine) outputs: MonteCarlo sheet, residual-income value and the margin sensitivity strip on Sensitivity come from scripts/valuation_engine.py (same DCF logic, seed 42); re-run the engine after changing drivers to refresh them.</t>
  </si>
  <si>
    <t xml:space="preserve">All $ in millions except per-share values. SOI = segment operating income (company non-GAAP measure, reconciled to GAAP in every 10-K segment note).</t>
  </si>
  <si>
    <t xml:space="preserve">Sources: SEC EDGAR (10-K 2015-2025, 10-Q Q1/Q2-2026, 8-K earnings releases 2015-2026, DEF 14A 2026), Goodyear investor presentations Q4-24..Q2-26, Yahoo Finance market data (2026-09-25).</t>
  </si>
  <si>
    <t xml:space="preserve">This workbook is analysis, not investment advice.</t>
  </si>
  <si>
    <t xml:space="preserve">Goodyear (GT) - probability-weighted intrinsic value</t>
  </si>
  <si>
    <t xml:space="preserve">Scenario DCF</t>
  </si>
  <si>
    <t xml:space="preserve">Probability</t>
  </si>
  <si>
    <t xml:space="preserve">EV ($m)</t>
  </si>
  <si>
    <t xml:space="preserve">Equity 6/30 ($m)</t>
  </si>
  <si>
    <t xml:space="preserve">Value/share ($)</t>
  </si>
  <si>
    <t xml:space="preserve">TV share of EV</t>
  </si>
  <si>
    <t xml:space="preserve">Bull</t>
  </si>
  <si>
    <t xml:space="preserve">Base</t>
  </si>
  <si>
    <t xml:space="preserve">Bear</t>
  </si>
  <si>
    <t xml:space="preserve">Distress (refinancing / restructuring)</t>
  </si>
  <si>
    <t xml:space="preserve">Probability-weighted scenario DCF</t>
  </si>
  <si>
    <t xml:space="preserve">Method</t>
  </si>
  <si>
    <t xml:space="preserve">Weight</t>
  </si>
  <si>
    <t xml:space="preserve">Low ($)</t>
  </si>
  <si>
    <t xml:space="preserve">Point ($)</t>
  </si>
  <si>
    <t xml:space="preserve">High ($)</t>
  </si>
  <si>
    <t xml:space="preserve">Why this weight</t>
  </si>
  <si>
    <t xml:space="preserve">Scenario-weighted FCFF DCF</t>
  </si>
  <si>
    <t xml:space="preserve">Primary: explicit bull/base/bear/distress cash flows; captures leverage and the recovery path.</t>
  </si>
  <si>
    <t xml:space="preserve">Monte Carlo DCF (mean; P10 / P90)</t>
  </si>
  <si>
    <t xml:space="preserve">Same engine, 20k draws over margins, growth, capex, WACC, g, RONIC with a leverage-based distress trigger.</t>
  </si>
  <si>
    <t xml:space="preserve">Merton option value on prob.-weighted EV</t>
  </si>
  <si>
    <t xml:space="preserve">Thin equity stub on a large EV: values limited liability / upside optionality the floored DCF misses.</t>
  </si>
  <si>
    <t xml:space="preserve">Earnings power value (no growth, 6% SOI margin)</t>
  </si>
  <si>
    <t xml:space="preserve">Greenwald earnings power at mid-cycle 6% SOI margin, zero growth; isolates the growth bet.</t>
  </si>
  <si>
    <t xml:space="preserve">Comparable multiples (2027E)</t>
  </si>
  <si>
    <t xml:space="preserve">Peer EV/EBITDA &amp; EV/EBIT and GT own-history multiple on 2027E; down-weighted: peers price off EUR/JPY rates and better FCF conversion.</t>
  </si>
  <si>
    <t xml:space="preserve">Sum of the parts (mid-cycle)</t>
  </si>
  <si>
    <t xml:space="preserve">Segment multiples on mid-cycle margins; APAC is the most valuable unit per $ of sales.</t>
  </si>
  <si>
    <t xml:space="preserve">Residual income (cross-check, static)</t>
  </si>
  <si>
    <t xml:space="preserve">Shown as a cross-check only: book equity is distorted by AOCI pension losses and the 2025 DTA write-off.</t>
  </si>
  <si>
    <t xml:space="preserve">Precedent transactions (control reference)</t>
  </si>
  <si>
    <t xml:space="preserve">Reference only: control multiples (Cooper 6.4x, OTR ~7x, Chemical ~4.3x) presume a buyer; antitrust limits obvious strategics.</t>
  </si>
  <si>
    <t xml:space="preserve">Asset-based (liquidation floor / tangible book)</t>
  </si>
  <si>
    <t xml:space="preserve">Floor/ceiling reference: liquidation leaves nothing for equity; tangible book is not economic value (ROIC &lt; WACC).</t>
  </si>
  <si>
    <t xml:space="preserve">Dividend discount model</t>
  </si>
  <si>
    <t xml:space="preserve">Excluded: no dividend since 2020 and none possible under current leverage.</t>
  </si>
  <si>
    <t xml:space="preserve">Blended intrinsic value per share ($)</t>
  </si>
  <si>
    <t xml:space="preserve">Share price reference ($)</t>
  </si>
  <si>
    <t xml:space="preserve">Upside / (downside) vs price</t>
  </si>
  <si>
    <t xml:space="preserve">Monte Carlo distribution (DCF family)</t>
  </si>
  <si>
    <t xml:space="preserve">P10</t>
  </si>
  <si>
    <t xml:space="preserve">P25</t>
  </si>
  <si>
    <t xml:space="preserve">P50</t>
  </si>
  <si>
    <t xml:space="preserve">P75</t>
  </si>
  <si>
    <t xml:space="preserve">P90</t>
  </si>
  <si>
    <t xml:space="preserve">Value per share ($)</t>
  </si>
  <si>
    <t xml:space="preserve">P(intrinsic value &gt; price)</t>
  </si>
  <si>
    <t xml:space="preserve">Reverse DCF (static): implied long-run SOI margin at the market price</t>
  </si>
  <si>
    <t xml:space="preserve">Reverse DCF (static): implied WACC at base-case cash flows</t>
  </si>
  <si>
    <t xml:space="preserve">Analysis, not investment advice. See output/GT_degerleme_raporu.md for evidence, assumptions and falsifiers.</t>
  </si>
  <si>
    <t xml:space="preserve">Drivers - every input used by the model (edit yellow cells)</t>
  </si>
  <si>
    <t xml:space="preserve">Market &amp; share data</t>
  </si>
  <si>
    <t xml:space="preserve">Share price reference ($, 2026-09-25)</t>
  </si>
  <si>
    <t xml:space="preserve">Yahoo Finance close; used only for reverse DCF / comparison</t>
  </si>
  <si>
    <t xml:space="preserve">Diluted shares (m)</t>
  </si>
  <si>
    <t xml:space="preserve">288m basic at 6/30/26 + ~2m equity awards (10-Q Q2-26)</t>
  </si>
  <si>
    <t xml:space="preserve">Roll-forward years (6/30/26 -&gt; 9/26/26)</t>
  </si>
  <si>
    <t xml:space="preserve">Discount rate build</t>
  </si>
  <si>
    <t xml:space="preserve">Risk-free rate (10y UST)</t>
  </si>
  <si>
    <t xml:space="preserve">10y UST 5.18% on 2026-09-25 (Yahoo ^TNX)</t>
  </si>
  <si>
    <t xml:space="preserve">Equity risk premium</t>
  </si>
  <si>
    <t xml:space="preserve">Implied US ERP range 4.2-4.6%</t>
  </si>
  <si>
    <t xml:space="preserve">Asset (unlevered) beta</t>
  </si>
  <si>
    <t xml:space="preserve">Tire-peer asset betas 0.9-1.15; GT own 2y/3y/5y weekly beta 0.57/0.85/1.38 (corr &lt;0.45)</t>
  </si>
  <si>
    <t xml:space="preserve">Debt beta</t>
  </si>
  <si>
    <t xml:space="preserve">B+/BB- debt; implies expected debt return 7.45% vs 8.875% coupon on Jun-26 notes</t>
  </si>
  <si>
    <t xml:space="preserve">Target debt / value</t>
  </si>
  <si>
    <t xml:space="preserve">Effective tax-shield rate</t>
  </si>
  <si>
    <t xml:space="preserve">Low: US &amp; Luxembourg DTAs under full valuation allowance</t>
  </si>
  <si>
    <t xml:space="preserve">Unlevered cost of capital</t>
  </si>
  <si>
    <t xml:space="preserve">Expected cost of debt</t>
  </si>
  <si>
    <t xml:space="preserve">Target debt / equity</t>
  </si>
  <si>
    <t xml:space="preserve">Equity beta at target leverage</t>
  </si>
  <si>
    <t xml:space="preserve">Cost of equity at target leverage</t>
  </si>
  <si>
    <t xml:space="preserve">WACC (computed)</t>
  </si>
  <si>
    <t xml:space="preserve">WACC used in all DCFs</t>
  </si>
  <si>
    <t xml:space="preserve">Rounded from computed WACC; sensitivity 8.25-10.25%</t>
  </si>
  <si>
    <t xml:space="preserve">Roll-forward factor (equity 6/30 -&gt; 9/26)</t>
  </si>
  <si>
    <t xml:space="preserve">Claims at 2026-06-30 ($m)</t>
  </si>
  <si>
    <t xml:space="preserve">Total debt</t>
  </si>
  <si>
    <t xml:space="preserve">10-Q Q2-26: notes payable 359 + LTD due &lt;1y 1,059 + LTD 5,772</t>
  </si>
  <si>
    <t xml:space="preserve">Cash &amp; equivalents</t>
  </si>
  <si>
    <t xml:space="preserve">10-Q Q2-26 ($179m in countries with transfer restrictions)</t>
  </si>
  <si>
    <t xml:space="preserve">Net debt</t>
  </si>
  <si>
    <t xml:space="preserve">Pension &amp; OPEB net deficit</t>
  </si>
  <si>
    <t xml:space="preserve">10-K 2025: US pension +77, non-US -215, OPEB -231</t>
  </si>
  <si>
    <t xml:space="preserve">Asbestos liability net of insurance receivable</t>
  </si>
  <si>
    <t xml:space="preserve">10-K 2025: gross 107 less receivable 57</t>
  </si>
  <si>
    <t xml:space="preserve">Minority interest (book)</t>
  </si>
  <si>
    <t xml:space="preserve">Total claims ahead of common equity</t>
  </si>
  <si>
    <t xml:space="preserve">Common forecast assumptions</t>
  </si>
  <si>
    <t xml:space="preserve">Revenue 2026E ($m)</t>
  </si>
  <si>
    <t xml:space="preserve">H1 actual 8,131 + H2E ~9,320; consensus 17,518</t>
  </si>
  <si>
    <t xml:space="preserve">Corporate cost 2026 ($m)</t>
  </si>
  <si>
    <t xml:space="preserve">Q2-26 deck 'corporate other normal operating ~$150m'</t>
  </si>
  <si>
    <t xml:space="preserve">Corporate cost inflation</t>
  </si>
  <si>
    <t xml:space="preserve">Net working capital % of revenue</t>
  </si>
  <si>
    <t xml:space="preserve">YE NWC/sales 10.3-13.0% in 2016-2025</t>
  </si>
  <si>
    <t xml:space="preserve">Factoring / securitization fees ($m/yr)</t>
  </si>
  <si>
    <t xml:space="preserve">Cash cost of $830m off-B/S factoring + securitization; factored AR not added to debt</t>
  </si>
  <si>
    <t xml:space="preserve">Cash-tax floor 2026 ($m)</t>
  </si>
  <si>
    <t xml:space="preserve">Foreign cash taxes ~$150-175m even in loss years (Q2-26 deck)</t>
  </si>
  <si>
    <t xml:space="preserve">Cash-tax floor growth</t>
  </si>
  <si>
    <t xml:space="preserve">Cash tax rate on (EBIT - restructuring - fees) to 2032</t>
  </si>
  <si>
    <t xml:space="preserve">US NOL / credit shield ($1.4bn US DTA under VA)</t>
  </si>
  <si>
    <t xml:space="preserve">Terminal cash tax rate</t>
  </si>
  <si>
    <t xml:space="preserve">D&amp;A 2027 ($m)</t>
  </si>
  <si>
    <t xml:space="preserve">2026 guide ~$915m</t>
  </si>
  <si>
    <t xml:space="preserve">H2-2026 cash interest ($m)</t>
  </si>
  <si>
    <t xml:space="preserve">FY26 interest ~$425m less H1 $200m</t>
  </si>
  <si>
    <t xml:space="preserve">Year</t>
  </si>
  <si>
    <t xml:space="preserve">Deferred revenue reversal ($m, non-cash income in SOI)</t>
  </si>
  <si>
    <t xml:space="preserve">$350m deferred revenue from 2025 divestitures (Q4-25 deck), ~$55m/yr amortization</t>
  </si>
  <si>
    <t xml:space="preserve">Scenario inputs</t>
  </si>
  <si>
    <t xml:space="preserve">Scenario probability</t>
  </si>
  <si>
    <t xml:space="preserve">Grounded on margin base rates, guidance confidence and single-B default rates (see report)</t>
  </si>
  <si>
    <t xml:space="preserve">H2-2026 FCFF ($m)</t>
  </si>
  <si>
    <t xml:space="preserve">FY26 FCF guide -$200/-$300m (base -$325m after haircut) less H1 -$962m, plus H2 cash interest</t>
  </si>
  <si>
    <t xml:space="preserve">Capex % of revenue (2028+)</t>
  </si>
  <si>
    <t xml:space="preserve">2015-2025 avg 5.4%; 2026 guide 4.2%</t>
  </si>
  <si>
    <t xml:space="preserve">Capex 2027 ($m)</t>
  </si>
  <si>
    <t xml:space="preserve">Restructuring cash 2027 ($m)</t>
  </si>
  <si>
    <t xml:space="preserve">Fayetteville cash $190-210m + EMEA plan</t>
  </si>
  <si>
    <t xml:space="preserve">Restructuring cash 2028 ($m)</t>
  </si>
  <si>
    <t xml:space="preserve">Restructuring cash 2029+ ($m/yr)</t>
  </si>
  <si>
    <t xml:space="preserve">2015-2025 average cash restructuring ~$170m/yr</t>
  </si>
  <si>
    <t xml:space="preserve">Terminal growth</t>
  </si>
  <si>
    <t xml:space="preserve">Return on new invested capital (RONIC)</t>
  </si>
  <si>
    <t xml:space="preserve">Distress scenario probability</t>
  </si>
  <si>
    <t xml:space="preserve">Distress equity value per share ($)</t>
  </si>
  <si>
    <t xml:space="preserve">Residual option after debt-for-equity / dilutive rescue</t>
  </si>
  <si>
    <t xml:space="preserve">Probability check (must be 100%)</t>
  </si>
  <si>
    <t xml:space="preserve">Revenue growth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</si>
  <si>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</si>
  <si>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</si>
  <si>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</si>
  <si>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</si>
  <si>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</si>
  <si>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</si>
  <si>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</si>
  <si>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</si>
  <si>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</si>
  <si>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SOI margin</t>
  </si>
  <si>
    <t xml:space="preserve">History: 2016 13.2%, 2019 6.4%, 2021 7.4%, 2023 4.7%, 2024 6.9%, 2025 5.8%, H1-26 1.6%</t>
  </si>
  <si>
    <t xml:space="preserve">FCFF DCF - BULL scenario ($m)</t>
  </si>
  <si>
    <t xml:space="preserve">Line item</t>
  </si>
  <si>
    <t xml:space="preserve">H2-2026</t>
  </si>
  <si>
    <t xml:space="preserve">Year (numeric)</t>
  </si>
  <si>
    <t xml:space="preserve">Discount period t (years from 6/30/26, mid-year)</t>
  </si>
  <si>
    <t xml:space="preserve">Revenue</t>
  </si>
  <si>
    <t xml:space="preserve">Segment operating income (SOI)</t>
  </si>
  <si>
    <t xml:space="preserve">Corporate cost</t>
  </si>
  <si>
    <t xml:space="preserve">EBIT (SOI - corporate)</t>
  </si>
  <si>
    <t xml:space="preserve">Capex</t>
  </si>
  <si>
    <t xml:space="preserve">D&amp;A</t>
  </si>
  <si>
    <t xml:space="preserve">Change in NWC</t>
  </si>
  <si>
    <t xml:space="preserve">Restructuring cash</t>
  </si>
  <si>
    <t xml:space="preserve">Factoring / securitization fees</t>
  </si>
  <si>
    <t xml:space="preserve">Deferred revenue reversal (non-cash SOI)</t>
  </si>
  <si>
    <t xml:space="preserve">Taxable base (EBIT - restructuring - fees)</t>
  </si>
  <si>
    <t xml:space="preserve">Cash-tax floor</t>
  </si>
  <si>
    <t xml:space="preserve">Cash tax rate</t>
  </si>
  <si>
    <t xml:space="preserve">Cash taxes</t>
  </si>
  <si>
    <t xml:space="preserve">Free cash flow to firm (FCFF)</t>
  </si>
  <si>
    <t xml:space="preserve">Discount factor</t>
  </si>
  <si>
    <t xml:space="preserve">PV of FCFF</t>
  </si>
  <si>
    <t xml:space="preserve">EBITDA (SOI + D&amp;A - corporate)</t>
  </si>
  <si>
    <t xml:space="preserve">Terminal value (Gordon, value-driver form)</t>
  </si>
  <si>
    <t xml:space="preserve">Terminal growth g</t>
  </si>
  <si>
    <t xml:space="preserve">RONIC</t>
  </si>
  <si>
    <t xml:space="preserve">Revenue 2036</t>
  </si>
  <si>
    <t xml:space="preserve">Corporate cost 2036</t>
  </si>
  <si>
    <t xml:space="preserve">EBIT 2036 (2035 SOI margin)</t>
  </si>
  <si>
    <t xml:space="preserve">NOPAT 2036 after normalized restructuring &amp; fees</t>
  </si>
  <si>
    <t xml:space="preserve">Terminal value at end-2035</t>
  </si>
  <si>
    <t xml:space="preserve">PV of terminal value (t = 9.5)</t>
  </si>
  <si>
    <t xml:space="preserve">Valuation</t>
  </si>
  <si>
    <t xml:space="preserve">Sum of PV of FCFF (H2-26 to 2035)</t>
  </si>
  <si>
    <t xml:space="preserve">Enterprise value at 6/30/26</t>
  </si>
  <si>
    <t xml:space="preserve">Terminal value share of EV</t>
  </si>
  <si>
    <t xml:space="preserve">Less: claims (net debt, pension, asbestos, minority)</t>
  </si>
  <si>
    <t xml:space="preserve">Equity value at 6/30/26</t>
  </si>
  <si>
    <t xml:space="preserve">Equity value at 9/26/26 (floored at zero)</t>
  </si>
  <si>
    <t xml:space="preserve">Implied terminal EV/EBITDA</t>
  </si>
  <si>
    <t xml:space="preserve">Leverage path (memo; interest 6.3% on gross debt, cash held ~$850m)</t>
  </si>
  <si>
    <t xml:space="preserve">Net debt at year-end</t>
  </si>
  <si>
    <t xml:space="preserve">Interest</t>
  </si>
  <si>
    <t xml:space="preserve">Net debt / EBITDA</t>
  </si>
  <si>
    <t xml:space="preserve">Levered FCF (FCFF - interest)</t>
  </si>
  <si>
    <t xml:space="preserve">FCFF DCF - BASE scenario ($m)</t>
  </si>
  <si>
    <t xml:space="preserve">FCFF DCF - BEAR scenario ($m)</t>
  </si>
  <si>
    <t xml:space="preserve">Earnings power value (Greenwald) - no growth, mid-cycle margin</t>
  </si>
  <si>
    <t xml:space="preserve">Mid-cycle SOI margin</t>
  </si>
  <si>
    <t xml:space="preserve">Revenue basis ($m)</t>
  </si>
  <si>
    <t xml:space="preserve">Normalized restructuring ($m)</t>
  </si>
  <si>
    <t xml:space="preserve">Tax rate on EPV earnings</t>
  </si>
  <si>
    <t xml:space="preserve">Corporate cost (2027)</t>
  </si>
  <si>
    <t xml:space="preserve">EPV at margin</t>
  </si>
  <si>
    <t xml:space="preserve">5.0%</t>
  </si>
  <si>
    <t xml:space="preserve">5.5%</t>
  </si>
  <si>
    <t xml:space="preserve">6.0%</t>
  </si>
  <si>
    <t xml:space="preserve">6.5%</t>
  </si>
  <si>
    <t xml:space="preserve">7.0%</t>
  </si>
  <si>
    <t xml:space="preserve">Normalized EBIT (after corporate, restructuring, fees)</t>
  </si>
  <si>
    <t xml:space="preserve">NOPAT</t>
  </si>
  <si>
    <t xml:space="preserve">EPV of operations at YE-2026</t>
  </si>
  <si>
    <t xml:space="preserve">EV at 6/30/26 (incl. base H2-26 FCFF)</t>
  </si>
  <si>
    <t xml:space="preserve">Equity value 6/30/26</t>
  </si>
  <si>
    <t xml:space="preserve">EPV per share ($)</t>
  </si>
  <si>
    <t xml:space="preserve">Growth value in base DCF (EV_base - EPV EV at mid-cycle margin)</t>
  </si>
  <si>
    <t xml:space="preserve">Merton structural model - equity as a call on enterprise value</t>
  </si>
  <si>
    <t xml:space="preserve">Probability-weighted EV ($m)</t>
  </si>
  <si>
    <t xml:space="preserve">Asset value V = EV + cash</t>
  </si>
  <si>
    <t xml:space="preserve">Claims K (debt + pension + asbestos + minority)</t>
  </si>
  <si>
    <t xml:space="preserve">Average cost of debt (carry on face)</t>
  </si>
  <si>
    <t xml:space="preserve">Risk-free rate (5y)</t>
  </si>
  <si>
    <t xml:space="preserve">Asset volatility</t>
  </si>
  <si>
    <t xml:space="preserve">Horizon T (years)</t>
  </si>
  <si>
    <t xml:space="preserve">Face value at T</t>
  </si>
  <si>
    <t xml:space="preserve">d1</t>
  </si>
  <si>
    <t xml:space="preserve">d2</t>
  </si>
  <si>
    <t xml:space="preserve">Equity value (call)</t>
  </si>
  <si>
    <t xml:space="preserve">Equity value per share ($)</t>
  </si>
  <si>
    <t xml:space="preserve">Risk-neutral probability equity finishes worthless</t>
  </si>
  <si>
    <t xml:space="preserve">Same model on bear / base / bull EV</t>
  </si>
  <si>
    <t xml:space="preserve">Asset value V</t>
  </si>
  <si>
    <t xml:space="preserve">Equity per share ($)</t>
  </si>
  <si>
    <t xml:space="preserve">Peer multiples (Yahoo Finance fundamentals, prices 2026-09-25; local currency)</t>
  </si>
  <si>
    <t xml:space="preserve">Company</t>
  </si>
  <si>
    <t xml:space="preserve">Role</t>
  </si>
  <si>
    <t xml:space="preserve">EV/Sales</t>
  </si>
  <si>
    <t xml:space="preserve">EV/EBITDA</t>
  </si>
  <si>
    <t xml:space="preserve">EV/EBIT</t>
  </si>
  <si>
    <t xml:space="preserve">P/E</t>
  </si>
  <si>
    <t xml:space="preserve">P/B</t>
  </si>
  <si>
    <t xml:space="preserve">EBITDA margin</t>
  </si>
  <si>
    <t xml:space="preserve">Op. margin</t>
  </si>
  <si>
    <t xml:space="preserve">4y avg op. margin</t>
  </si>
  <si>
    <t xml:space="preserve">Net debt/EBITDA</t>
  </si>
  <si>
    <t xml:space="preserve">Note</t>
  </si>
  <si>
    <t xml:space="preserve">Michelin</t>
  </si>
  <si>
    <t xml:space="preserve">core</t>
  </si>
  <si>
    <t xml:space="preserve">Global premium leader; ~11% segment margin; strong balance sheet</t>
  </si>
  <si>
    <t xml:space="preserve">Bridgestone</t>
  </si>
  <si>
    <t xml:space="preserve">Global #1-2; premium; net cash-ish</t>
  </si>
  <si>
    <t xml:space="preserve">Continental (post-spin)</t>
  </si>
  <si>
    <t xml:space="preserve">Tires + ContiTech after Aumovio spin (Sep-2025)</t>
  </si>
  <si>
    <t xml:space="preserve">Pirelli</t>
  </si>
  <si>
    <t xml:space="preserve">High-value premium niche; highest margins</t>
  </si>
  <si>
    <t xml:space="preserve">Yokohama Rubber</t>
  </si>
  <si>
    <t xml:space="preserve">Mid-tier + OTR (bought GT OTR 2025, TWS 2023)</t>
  </si>
  <si>
    <t xml:space="preserve">Toyo Tire</t>
  </si>
  <si>
    <t xml:space="preserve">Mid-tier, US-heavy light-truck/SUV exposure</t>
  </si>
  <si>
    <t xml:space="preserve">Sumitomo Rubber</t>
  </si>
  <si>
    <t xml:space="preserve">Closest structural analogue: mid-tier, low margin; bought Dunlop brand from GT; TTM series truncated on source; revenue/EBITDA from quoteSummary, EBIT/NI scaled</t>
  </si>
  <si>
    <t xml:space="preserve">Kumho Tire</t>
  </si>
  <si>
    <t xml:space="preserve">Low-cost Korean; leveraged</t>
  </si>
  <si>
    <t xml:space="preserve">Nokian Tyres</t>
  </si>
  <si>
    <t xml:space="preserve">reference</t>
  </si>
  <si>
    <t xml:space="preserve">Post-Russia rebuild; multiple inflated by recovery / depressed EBITDA</t>
  </si>
  <si>
    <t xml:space="preserve">Hankook Tire &amp; Tech</t>
  </si>
  <si>
    <t xml:space="preserve">Consolidates Hanon Systems (auto thermal) from 2025 -&gt; not pure tire</t>
  </si>
  <si>
    <t xml:space="preserve">Apollo Tyres</t>
  </si>
  <si>
    <t xml:space="preserve">excluded</t>
  </si>
  <si>
    <t xml:space="preserve">India-centric growth market</t>
  </si>
  <si>
    <t xml:space="preserve">Sailun</t>
  </si>
  <si>
    <t xml:space="preserve">Chinese low-cost exporter (share taker vs GT), high growth</t>
  </si>
  <si>
    <t xml:space="preserve">Linglong</t>
  </si>
  <si>
    <t xml:space="preserve">Chinese low-cost exporter</t>
  </si>
  <si>
    <t xml:space="preserve">Goodyear (LTM Jun-26, IFRS-like)</t>
  </si>
  <si>
    <t xml:space="preserve">subject</t>
  </si>
  <si>
    <t xml:space="preserve">Company data LTM Jun-26; leases capitalised for comparability</t>
  </si>
  <si>
    <t xml:space="preserve">Core peer statistics</t>
  </si>
  <si>
    <t xml:space="preserve">Statistic</t>
  </si>
  <si>
    <t xml:space="preserve">25th percentile</t>
  </si>
  <si>
    <t xml:space="preserve">Median</t>
  </si>
  <si>
    <t xml:space="preserve">75th percentile</t>
  </si>
  <si>
    <t xml:space="preserve">Min</t>
  </si>
  <si>
    <t xml:space="preserve">Max</t>
  </si>
  <si>
    <t xml:space="preserve">Applying multiples to GT 2027E (base case)</t>
  </si>
  <si>
    <t xml:space="preserve">2027E EBITDA, US GAAP ($m)</t>
  </si>
  <si>
    <t xml:space="preserve">Operating lease cost add-back ($m)</t>
  </si>
  <si>
    <t xml:space="preserve">2027E EBITDA, IFRS-like ($m)</t>
  </si>
  <si>
    <t xml:space="preserve">Operating lease liabilities ($m)</t>
  </si>
  <si>
    <t xml:space="preserve">2027E EBIT (SOI - corporate) ($m)</t>
  </si>
  <si>
    <t xml:space="preserve">Claims at YE-2026E (6/30 claims less base H2 levered FCF)</t>
  </si>
  <si>
    <t xml:space="preserve">GT own EV/adj. EBITDA median 2022-2025</t>
  </si>
  <si>
    <t xml:space="preserve">Multiple</t>
  </si>
  <si>
    <t xml:space="preserve">Metric ($m)</t>
  </si>
  <si>
    <t xml:space="preserve">Equity/share ($)</t>
  </si>
  <si>
    <t xml:space="preserve">Peer EV/EBITDA - 25th pct</t>
  </si>
  <si>
    <t xml:space="preserve">Peer EV/EBITDA - median</t>
  </si>
  <si>
    <t xml:space="preserve">Peer EV/EBITDA - 75th pct</t>
  </si>
  <si>
    <t xml:space="preserve">Peer EV/EBIT - 25th pct</t>
  </si>
  <si>
    <t xml:space="preserve">Peer EV/EBIT - median</t>
  </si>
  <si>
    <t xml:space="preserve">Peer EV/EBIT - 75th pct</t>
  </si>
  <si>
    <t xml:space="preserve">GT own-history EV/EBITDA (US GAAP)</t>
  </si>
  <si>
    <t xml:space="preserve">Comps central value (avg of peer EV/EBITDA median, peer EV/EBIT median, own history)</t>
  </si>
  <si>
    <t xml:space="preserve">Comps low (min of 25th pct results)</t>
  </si>
  <si>
    <t xml:space="preserve">Comps high (max of 75th pct results)</t>
  </si>
  <si>
    <t xml:space="preserve">Sum of the parts - mid-cycle segment economics</t>
  </si>
  <si>
    <t xml:space="preserve">Segment</t>
  </si>
  <si>
    <t xml:space="preserve">Revenue ($m)</t>
  </si>
  <si>
    <t xml:space="preserve">SOI ($m)</t>
  </si>
  <si>
    <t xml:space="preserve">D&amp;A ($m)</t>
  </si>
  <si>
    <t xml:space="preserve">EBITDA ($m)</t>
  </si>
  <si>
    <t xml:space="preserve">Value ($m)</t>
  </si>
  <si>
    <t xml:space="preserve">Americas</t>
  </si>
  <si>
    <t xml:space="preserve">Europe, Middle East &amp; Africa</t>
  </si>
  <si>
    <t xml:space="preserve">Asia Pacific</t>
  </si>
  <si>
    <t xml:space="preserve">Corporate cost ($m) x multiple</t>
  </si>
  <si>
    <t xml:space="preserve">PV of restructuring cash 2027-2029</t>
  </si>
  <si>
    <t xml:space="preserve">EV at mid-cycle</t>
  </si>
  <si>
    <t xml:space="preserve">Years until mid-cycle</t>
  </si>
  <si>
    <t xml:space="preserve">EV at 6/30/26 (discounted + H2-26 FCFF + half of 2027 FCFF)</t>
  </si>
  <si>
    <t xml:space="preserve">SOTP value per share ($)</t>
  </si>
  <si>
    <t xml:space="preserve">Total mid-cycle SOI margin</t>
  </si>
  <si>
    <t xml:space="preserve">Precedent transactions (control) and asset-based references</t>
  </si>
  <si>
    <t xml:space="preserve">Transaction</t>
  </si>
  <si>
    <t xml:space="preserve">Basis / note</t>
  </si>
  <si>
    <t xml:space="preserve">Goodyear / Cooper Tire (2021)</t>
  </si>
  <si>
    <t xml:space="preserve">EV ~$2.5bn (equity $2.8bn at $54.36/sh less net cash ~$0.3bn) / 2020 EBITDA $390m (op. income 231 + D&amp;A 159, SEC XBRL) (EV/EBITDA)</t>
  </si>
  <si>
    <t xml:space="preserve">GT OTR -&gt; Yokohama (2025)</t>
  </si>
  <si>
    <t xml:space="preserve">$905m / est. EBITDA ~$125m (analyst estimate; segment disclosure only) (EV/EBITDA)</t>
  </si>
  <si>
    <t xml:space="preserve">GT Chemical -&gt; Gemspring (2025)</t>
  </si>
  <si>
    <t xml:space="preserve">$650m / est. EBITDA ~$150m (SOI impact ~$120m + D&amp;A ~$30m) (EV/EBITDA)</t>
  </si>
  <si>
    <t xml:space="preserve">GT Dunlop brand -&gt; Sumitomo Rubber (2025)</t>
  </si>
  <si>
    <t xml:space="preserve">$631m (brand + transition fee) / $65m annual SOI impact (EV/SOI)</t>
  </si>
  <si>
    <t xml:space="preserve">Control multiple applied (EV/EBITDA)</t>
  </si>
  <si>
    <t xml:space="preserve">Base 2030E EBITDA ($m)</t>
  </si>
  <si>
    <t xml:space="preserve">Control EV at 6/30/26 (discounted 3.5 yrs)</t>
  </si>
  <si>
    <t xml:space="preserve">Control value per share ($)</t>
  </si>
  <si>
    <t xml:space="preserve">Minority discount</t>
  </si>
  <si>
    <t xml:space="preserve">Minority value per share ($)</t>
  </si>
  <si>
    <t xml:space="preserve">Asset-based</t>
  </si>
  <si>
    <t xml:space="preserve">Asset (6/30/26, $m)</t>
  </si>
  <si>
    <t xml:space="preserve">Book</t>
  </si>
  <si>
    <t xml:space="preserve">Recovery %</t>
  </si>
  <si>
    <t xml:space="preserve">Liquidation value</t>
  </si>
  <si>
    <t xml:space="preserve">Accounts receivable</t>
  </si>
  <si>
    <t xml:space="preserve">Inventories</t>
  </si>
  <si>
    <t xml:space="preserve">PP&amp;E</t>
  </si>
  <si>
    <t xml:space="preserve">Other assets</t>
  </si>
  <si>
    <t xml:space="preserve">Brands (Goodyear, Cooper) - estimate</t>
  </si>
  <si>
    <t xml:space="preserve">Total liquidation proceeds</t>
  </si>
  <si>
    <t xml:space="preserve">Total liabilities (10-Q Q2-26)</t>
  </si>
  <si>
    <t xml:space="preserve">Liquidation value to equity</t>
  </si>
  <si>
    <t xml:space="preserve">Liquidation value per share ($)</t>
  </si>
  <si>
    <t xml:space="preserve">Book equity per share ($)</t>
  </si>
  <si>
    <t xml:space="preserve">Tangible book per share ($) (ex goodwill 44, intangibles 651)</t>
  </si>
  <si>
    <t xml:space="preserve">Monte Carlo (static output of scripts/valuation_engine.py, 20,000 draws, seed 42)</t>
  </si>
  <si>
    <t xml:space="preserve">Distribution of value per share ($)</t>
  </si>
  <si>
    <t xml:space="preserve">Input distributions</t>
  </si>
  <si>
    <t xml:space="preserve">mean</t>
  </si>
  <si>
    <t xml:space="preserve">Long-run SOI margin ~ N(mean, sd), truncated</t>
  </si>
  <si>
    <t xml:space="preserve">5.7% / 1.4% [1%-10%]</t>
  </si>
  <si>
    <t xml:space="preserve">P5</t>
  </si>
  <si>
    <t xml:space="preserve">2026E SOI ~ N</t>
  </si>
  <si>
    <t xml:space="preserve">$570m / $45m</t>
  </si>
  <si>
    <t xml:space="preserve">Years to reach long-run margin ~ U{2,3,4}</t>
  </si>
  <si>
    <t xml:space="preserve">Revenue growth 2027-35 ~ N (corr 0.4 with margin)</t>
  </si>
  <si>
    <t xml:space="preserve">2.0% / 1.0%</t>
  </si>
  <si>
    <t xml:space="preserve">Capex % revenue ~ N</t>
  </si>
  <si>
    <t xml:space="preserve">4.6% / 0.3%</t>
  </si>
  <si>
    <t xml:space="preserve">Restructuring $m/yr ~ U</t>
  </si>
  <si>
    <t xml:space="preserve">60-160</t>
  </si>
  <si>
    <t xml:space="preserve">WACC ~ N (clipped 7-12%)</t>
  </si>
  <si>
    <t xml:space="preserve">9.25% / 0.60%</t>
  </si>
  <si>
    <t xml:space="preserve">P95</t>
  </si>
  <si>
    <t xml:space="preserve">Terminal growth ~ U</t>
  </si>
  <si>
    <t xml:space="preserve">0.5%-2.0%</t>
  </si>
  <si>
    <t xml:space="preserve">P(value &gt; price)</t>
  </si>
  <si>
    <t xml:space="preserve">RONIC = WACC + N(0, sd)</t>
  </si>
  <si>
    <t xml:space="preserve">sd 1.5%</t>
  </si>
  <si>
    <t xml:space="preserve">P(equity worthless or distress)</t>
  </si>
  <si>
    <t xml:space="preserve">Terminal tax ~ U</t>
  </si>
  <si>
    <t xml:space="preserve">21%-26%</t>
  </si>
  <si>
    <t xml:space="preserve">Distress trigger</t>
  </si>
  <si>
    <t xml:space="preserve">net debt/EBITDA &gt; 6.0x in 2027-28 -&gt; $0.2/sh</t>
  </si>
  <si>
    <t xml:space="preserve">Driver rank correlation with value</t>
  </si>
  <si>
    <t xml:space="preserve">long_run_margin</t>
  </si>
  <si>
    <t xml:space="preserve">revenue_growth</t>
  </si>
  <si>
    <t xml:space="preserve">wacc</t>
  </si>
  <si>
    <t xml:space="preserve">terminal_growth</t>
  </si>
  <si>
    <t xml:space="preserve">capex_pct</t>
  </si>
  <si>
    <t xml:space="preserve">restructuring</t>
  </si>
  <si>
    <t xml:space="preserve">ronic_spread</t>
  </si>
  <si>
    <t xml:space="preserve">soi_2026</t>
  </si>
  <si>
    <t xml:space="preserve">recovery_years</t>
  </si>
  <si>
    <t xml:space="preserve">Histogram (value per share, $0.50 bins, clipped at $30)</t>
  </si>
  <si>
    <t xml:space="preserve">Bin start ($)</t>
  </si>
  <si>
    <t xml:space="preserve">Draws</t>
  </si>
  <si>
    <t xml:space="preserve">Sensitivity of base-case value per share ($)</t>
  </si>
  <si>
    <t xml:space="preserve">WACC (rows) x terminal growth (columns) - live formulas on DCF_Base cash flows (RONIC = WACC)</t>
  </si>
  <si>
    <t xml:space="preserve">WACC \ g</t>
  </si>
  <si>
    <t xml:space="preserve">Long-run SOI margin (3-year linear recovery from 2026E 3.3%) - static engine output</t>
  </si>
  <si>
    <t xml:space="preserve">Long-run SOI margin</t>
  </si>
  <si>
    <t xml:space="preserve">Tornado (base case, one variable at a time) - static engine output</t>
  </si>
  <si>
    <t xml:space="preserve">Driver (low / high)</t>
  </si>
  <si>
    <t xml:space="preserve">Low case $</t>
  </si>
  <si>
    <t xml:space="preserve">High case $</t>
  </si>
  <si>
    <t xml:space="preserve">Long-run SOI margin 5.0% / 7.0%</t>
  </si>
  <si>
    <t xml:space="preserve">WACC 10.25% / 8.25%</t>
  </si>
  <si>
    <t xml:space="preserve">Capex 5.0% / 4.2% of sales</t>
  </si>
  <si>
    <t xml:space="preserve">Terminal growth 0.5% / 2.5%</t>
  </si>
  <si>
    <t xml:space="preserve">Revenue growth -1pt / +1pt p.a.</t>
  </si>
  <si>
    <t xml:space="preserve">Restructuring $150m / $50m p.a.</t>
  </si>
  <si>
    <t xml:space="preserve">H2-26 FCFF $737m / $962m</t>
  </si>
  <si>
    <t xml:space="preserve">Terminal tax 27% / 21%</t>
  </si>
  <si>
    <t xml:space="preserve">Normalized 10-year history ($m) - SEC XBRL (latest-filed values) + 10-K segment notes</t>
  </si>
  <si>
    <t xml:space="preserve">Metric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</si>
  <si>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</si>
  <si>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</si>
  <si>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</si>
  <si>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</si>
  <si>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</si>
  <si>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</si>
  <si>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</si>
  <si>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</si>
  <si>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</si>
  <si>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</si>
  <si>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</si>
  <si>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revenue</t>
  </si>
  <si>
    <t xml:space="preserve">units_m</t>
  </si>
  <si>
    <t xml:space="preserve">rev_per_unit</t>
  </si>
  <si>
    <t xml:space="preserve">soi</t>
  </si>
  <si>
    <t xml:space="preserve">soi_margin</t>
  </si>
  <si>
    <t xml:space="preserve">soi_americas</t>
  </si>
  <si>
    <t xml:space="preserve">soi_emea</t>
  </si>
  <si>
    <t xml:space="preserve">soi_apac</t>
  </si>
  <si>
    <t xml:space="preserve">margin_americas</t>
  </si>
  <si>
    <t xml:space="preserve">margin_emea</t>
  </si>
  <si>
    <t xml:space="preserve">margin_apac</t>
  </si>
  <si>
    <t xml:space="preserve">corp_cost</t>
  </si>
  <si>
    <t xml:space="preserve">rationalization_charge</t>
  </si>
  <si>
    <t xml:space="preserve">rationalization_cash</t>
  </si>
  <si>
    <t xml:space="preserve">impairments</t>
  </si>
  <si>
    <t xml:space="preserve">dna</t>
  </si>
  <si>
    <t xml:space="preserve">adj_ebitda</t>
  </si>
  <si>
    <t xml:space="preserve">ebit_normalized</t>
  </si>
  <si>
    <t xml:space="preserve">ebit_norm_margin</t>
  </si>
  <si>
    <t xml:space="preserve">nopat_normalized</t>
  </si>
  <si>
    <t xml:space="preserve">interest_expense</t>
  </si>
  <si>
    <t xml:space="preserve">net_income_gaap</t>
  </si>
  <si>
    <t xml:space="preserve">eps_diluted_gaap</t>
  </si>
  <si>
    <t xml:space="preserve">cfo</t>
  </si>
  <si>
    <t xml:space="preserve">capex</t>
  </si>
  <si>
    <t xml:space="preserve">fcf</t>
  </si>
  <si>
    <t xml:space="preserve">asset_sale_proceeds</t>
  </si>
  <si>
    <t xml:space="preserve">acquisitions</t>
  </si>
  <si>
    <t xml:space="preserve">buybacks</t>
  </si>
  <si>
    <t xml:space="preserve">dividends</t>
  </si>
  <si>
    <t xml:space="preserve">nwc</t>
  </si>
  <si>
    <t xml:space="preserve">invested_capital</t>
  </si>
  <si>
    <t xml:space="preserve">roic_pre_tax_soi</t>
  </si>
  <si>
    <t xml:space="preserve">roic_nopat_norm</t>
  </si>
  <si>
    <t xml:space="preserve">total_debt</t>
  </si>
  <si>
    <t xml:space="preserve">cash</t>
  </si>
  <si>
    <t xml:space="preserve">net_debt</t>
  </si>
  <si>
    <t xml:space="preserve">equity_parent</t>
  </si>
  <si>
    <t xml:space="preserve">shares_ye_m</t>
  </si>
  <si>
    <t xml:space="preserve">price_ye</t>
  </si>
  <si>
    <t xml:space="preserve">market_cap</t>
  </si>
  <si>
    <t xml:space="preserve">ev</t>
  </si>
  <si>
    <t xml:space="preserve">ev_to_adj_ebitda</t>
  </si>
  <si>
    <t xml:space="preserve">price_to_book</t>
  </si>
  <si>
    <t xml:space="preserve">net_debt_to_adj_ebitda</t>
  </si>
  <si>
    <t xml:space="preserve">Normalized EBIT = SOI - corporate cost - $150m normalized restructuring; NOPAT at 25% tax; IC = AR + inventory - AP + PP&amp;E + goodwill + intangibles.</t>
  </si>
  <si>
    <t xml:space="preserve">Management guidance record: realization and status (retired targets count as misses)</t>
  </si>
  <si>
    <t xml:space="preserve">ID</t>
  </si>
  <si>
    <t xml:space="preserve">Category</t>
  </si>
  <si>
    <t xml:space="preserve">Issued</t>
  </si>
  <si>
    <t xml:space="preserve">Guided low</t>
  </si>
  <si>
    <t xml:space="preserve">Guided high</t>
  </si>
  <si>
    <t xml:space="preserve">Base at issue</t>
  </si>
  <si>
    <t xml:space="preserve">Actual</t>
  </si>
  <si>
    <t xml:space="preserve">Status</t>
  </si>
  <si>
    <t xml:space="preserve">Increment realization</t>
  </si>
  <si>
    <t xml:space="preserve">Level realization</t>
  </si>
  <si>
    <t xml:space="preserve">G01</t>
  </si>
  <si>
    <t xml:space="preserve">soi_1y</t>
  </si>
  <si>
    <t xml:space="preserve">FY2014 SOI growth 10-15% (2014-16 plan)</t>
  </si>
  <si>
    <t xml:space="preserve">2014-02</t>
  </si>
  <si>
    <t xml:space="preserve">miss</t>
  </si>
  <si>
    <t xml:space="preserve">G02</t>
  </si>
  <si>
    <t xml:space="preserve">FY2015 SOI growth 10-15%</t>
  </si>
  <si>
    <t xml:space="preserve">hit</t>
  </si>
  <si>
    <t xml:space="preserve">G03</t>
  </si>
  <si>
    <t xml:space="preserve">FY2016 record SOI $2.1-2.2bn ex-Venezuela</t>
  </si>
  <si>
    <t xml:space="preserve">2016-02-09</t>
  </si>
  <si>
    <t xml:space="preserve">G04</t>
  </si>
  <si>
    <t xml:space="preserve">FY2017 SOI ~flat vs 2016 (~$2.0bn)</t>
  </si>
  <si>
    <t xml:space="preserve">2017-02-08</t>
  </si>
  <si>
    <t xml:space="preserve">G05</t>
  </si>
  <si>
    <t xml:space="preserve">FY2018 SOI $1.8-1.9bn</t>
  </si>
  <si>
    <t xml:space="preserve">2018-02-08</t>
  </si>
  <si>
    <t xml:space="preserve">G06</t>
  </si>
  <si>
    <t xml:space="preserve">2H-2023 SOI margin 'much closer to near-term target of 8%'</t>
  </si>
  <si>
    <t xml:space="preserve">2023-05-04</t>
  </si>
  <si>
    <t xml:space="preserve">partial</t>
  </si>
  <si>
    <t xml:space="preserve">G07</t>
  </si>
  <si>
    <t xml:space="preserve">FY2026 SOI implied by Feb-2026 bridge (~$0.9bn ex-volume) vs Aug-2026 implied ~$0.6bn</t>
  </si>
  <si>
    <t xml:space="preserve">2026-02-10</t>
  </si>
  <si>
    <t xml:space="preserve">interim</t>
  </si>
  <si>
    <t xml:space="preserve">G08</t>
  </si>
  <si>
    <t xml:space="preserve">soi_multi</t>
  </si>
  <si>
    <t xml:space="preserve">2020 SOI target $3.0bn (Investor Day)</t>
  </si>
  <si>
    <t xml:space="preserve">2016-09-15</t>
  </si>
  <si>
    <t xml:space="preserve">retired</t>
  </si>
  <si>
    <t xml:space="preserve">G09</t>
  </si>
  <si>
    <t xml:space="preserve">2020 SOI target $2.0-2.4bn (restated)</t>
  </si>
  <si>
    <t xml:space="preserve">G10</t>
  </si>
  <si>
    <t xml:space="preserve">SOI margin ~10% in Q4-2025 (Goodyear Forward)</t>
  </si>
  <si>
    <t xml:space="preserve">2023-11-15</t>
  </si>
  <si>
    <t xml:space="preserve">G11</t>
  </si>
  <si>
    <t xml:space="preserve">leverage</t>
  </si>
  <si>
    <t xml:space="preserve">Net leverage 2.0-2.5x by YE2025</t>
  </si>
  <si>
    <t xml:space="preserve">G12</t>
  </si>
  <si>
    <t xml:space="preserve">Adjusted debt/EBITDAP 2.0-2.1x at YE2016</t>
  </si>
  <si>
    <t xml:space="preserve">2015-02-17</t>
  </si>
  <si>
    <t xml:space="preserve">G13</t>
  </si>
  <si>
    <t xml:space="preserve">capital_return</t>
  </si>
  <si>
    <t xml:space="preserve">Cumulative FCF 2017-2020 $4.3-4.9bn</t>
  </si>
  <si>
    <t xml:space="preserve">G14</t>
  </si>
  <si>
    <t xml:space="preserve">Shareholder returns up to $4bn 2017-2020</t>
  </si>
  <si>
    <t xml:space="preserve">G15</t>
  </si>
  <si>
    <t xml:space="preserve">cost_program</t>
  </si>
  <si>
    <t xml:space="preserve">EMEA Hanau/Fulda modernization +$60-70m SOI (3 yrs from 2020)</t>
  </si>
  <si>
    <t xml:space="preserve">2019-04-26</t>
  </si>
  <si>
    <t xml:space="preserve">G16</t>
  </si>
  <si>
    <t xml:space="preserve">Cooper synergies $165m run-rate within 2 yrs (raised to $250m by mid-2023)</t>
  </si>
  <si>
    <t xml:space="preserve">2021-02-22</t>
  </si>
  <si>
    <t xml:space="preserve">G17</t>
  </si>
  <si>
    <t xml:space="preserve">Goodyear Forward 2024 gross benefits ~$350m (raised to $450m)</t>
  </si>
  <si>
    <t xml:space="preserve">2024-02-12</t>
  </si>
  <si>
    <t xml:space="preserve">G18</t>
  </si>
  <si>
    <t xml:space="preserve">Goodyear Forward 2025 gross benefits ~$750m</t>
  </si>
  <si>
    <t xml:space="preserve">2024-11-04</t>
  </si>
  <si>
    <t xml:space="preserve">G19</t>
  </si>
  <si>
    <t xml:space="preserve">Goodyear Forward run-rate $1.3bn by Q4-2025 (raised to $1.5bn)</t>
  </si>
  <si>
    <t xml:space="preserve">G20</t>
  </si>
  <si>
    <t xml:space="preserve">portfolio</t>
  </si>
  <si>
    <t xml:space="preserve">Gross proceeds &gt;$2bn from OTR/Dunlop/Chemical</t>
  </si>
  <si>
    <t xml:space="preserve">G21</t>
  </si>
  <si>
    <t xml:space="preserve">cash_items_1y</t>
  </si>
  <si>
    <t xml:space="preserve">2025 capex ~$950m</t>
  </si>
  <si>
    <t xml:space="preserve">2025-02-13</t>
  </si>
  <si>
    <t xml:space="preserve">G22</t>
  </si>
  <si>
    <t xml:space="preserve">2025 rationalization payments ~$400m</t>
  </si>
  <si>
    <t xml:space="preserve">G23</t>
  </si>
  <si>
    <t xml:space="preserve">2025 interest expense $450-475m</t>
  </si>
  <si>
    <t xml:space="preserve">G24</t>
  </si>
  <si>
    <t xml:space="preserve">2025 working capital inflow $100-150m</t>
  </si>
  <si>
    <t xml:space="preserve">G25</t>
  </si>
  <si>
    <t xml:space="preserve">2025 cash taxes ~$200m</t>
  </si>
  <si>
    <t xml:space="preserve">G26</t>
  </si>
  <si>
    <t xml:space="preserve">2026 working capital inflow ~$100m (Feb-26) -&gt; neutral (Aug-26)</t>
  </si>
  <si>
    <t xml:space="preserve">G27</t>
  </si>
  <si>
    <t xml:space="preserve">2026 raw-material benefit ~$300m (Feb-26) -&gt; ~neutral (May-26)</t>
  </si>
  <si>
    <t xml:space="preserve">G28</t>
  </si>
  <si>
    <t xml:space="preserve">industry_1y</t>
  </si>
  <si>
    <t xml:space="preserve">2025 commercial replacement industry +2-4%</t>
  </si>
  <si>
    <t xml:space="preserve">n</t>
  </si>
  <si>
    <t xml:space="preserve">Hit rate</t>
  </si>
  <si>
    <t xml:space="preserve">Median increment realization</t>
  </si>
  <si>
    <t xml:space="preserve">Retired</t>
  </si>
  <si>
    <t xml:space="preserve">Confidence (0-100)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</si>
</sst>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.0%;\(0.0%\);\-"/>
    <numFmt numFmtId="166" formatCode="\$#,##0;&quot;($&quot;#,##0\);\-"/>
    <numFmt numFmtId="167" formatCode="\$#,##0.00;&quot;($&quot;#,##0.00\);\-"/>
    <numFmt numFmtId="168" formatCode="0.00%;\(0.00%\);\-"/>
    <numFmt numFmtId="169" formatCode="#,##0"/>
    <numFmt numFmtId="170" formatCode="0.00"/>
    <numFmt numFmtId="171" formatCode="0.0000"/>
    <numFmt numFmtId="172" formatCode="0"/>
    <numFmt numFmtId="173" formatCode="0.0"/>
    <numFmt numFmtId="174" formatCode="0.0\x"/>
    <numFmt numFmtId="175" formatCode="0.000"/>
    <numFmt numFmtId="176" formatCode="0.00\x"/>
    <numFmt numFmtId="177" formatCode="#,##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3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4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5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6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7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0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7" min="2" style="0" width="15"/>
    <col collapsed="false" customWidth="true" hidden="false" outlineLevel="0" max="8" min="8" style="0" width="90"/>
  </cols>
  <sheetData>
    <row r="1" customFormat="false" ht="16.15" hidden="false" customHeight="false" outlineLevel="0" collapsed="false">
      <c r="A1" s="1" t="s">
        <v>9</v>
      </c>
    </row>
    <row r="3" customFormat="false" ht="15" hidden="false" customHeight="false" outlineLevel="0" collapsed="false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</row>
    <row r="4" customFormat="false" ht="15" hidden="false" customHeight="false" outlineLevel="0" collapsed="false">
      <c r="A4" s="4" t="s">
        <v>16</v>
      </c>
      <c r="B4" s="5" t="n">
        <f aca="false">Drivers!B52</f>
        <v>0.15</v>
      </c>
      <c r="C4" s="6" t="n">
        <f aca="false">DCF_Bull!B40</f>
        <v>11724.0470499464</v>
      </c>
      <c r="D4" s="6" t="n">
        <f aca="false">DCF_Bull!B43</f>
        <v>4814.04704994644</v>
      </c>
      <c r="E4" s="7" t="n">
        <f aca="false">DCF_Bull!B45</f>
        <v>17.0478030661176</v>
      </c>
      <c r="F4" s="5" t="n">
        <f aca="false">DCF_Bull!B41</f>
        <v>0.482643430051131</v>
      </c>
    </row>
    <row r="5" customFormat="false" ht="15" hidden="false" customHeight="false" outlineLevel="0" collapsed="false">
      <c r="A5" s="4" t="s">
        <v>17</v>
      </c>
      <c r="B5" s="5" t="n">
        <f aca="false">Drivers!C52</f>
        <v>0.45</v>
      </c>
      <c r="C5" s="6" t="n">
        <f aca="false">DCF_Base!B40</f>
        <v>7475.27132308936</v>
      </c>
      <c r="D5" s="6" t="n">
        <f aca="false">DCF_Base!B43</f>
        <v>565.271323089362</v>
      </c>
      <c r="E5" s="7" t="n">
        <f aca="false">DCF_Base!B45</f>
        <v>2.00177399492978</v>
      </c>
      <c r="F5" s="5" t="n">
        <f aca="false">DCF_Base!B41</f>
        <v>0.45915929106089</v>
      </c>
    </row>
    <row r="6" customFormat="false" ht="15" hidden="false" customHeight="false" outlineLevel="0" collapsed="false">
      <c r="A6" s="4" t="s">
        <v>18</v>
      </c>
      <c r="B6" s="5" t="n">
        <f aca="false">Drivers!D52</f>
        <v>0.28</v>
      </c>
      <c r="C6" s="6" t="n">
        <f aca="false">DCF_Bear!B40</f>
        <v>2932.95090754895</v>
      </c>
      <c r="D6" s="6" t="n">
        <f aca="false">DCF_Bear!B43</f>
        <v>-3977.04909245105</v>
      </c>
      <c r="E6" s="7" t="n">
        <f aca="false">DCF_Bear!B45</f>
        <v>0</v>
      </c>
      <c r="F6" s="5" t="n">
        <f aca="false">DCF_Bear!B41</f>
        <v>0.453302180309257</v>
      </c>
    </row>
    <row r="7" customFormat="false" ht="15" hidden="false" customHeight="false" outlineLevel="0" collapsed="false">
      <c r="A7" s="4" t="s">
        <v>19</v>
      </c>
      <c r="B7" s="5" t="n">
        <f aca="false">Drivers!B62</f>
        <v>0.12</v>
      </c>
      <c r="E7" s="7" t="n">
        <f aca="false">Drivers!B63</f>
        <v>0.2</v>
      </c>
    </row>
    <row r="8" customFormat="false" ht="15" hidden="false" customHeight="false" outlineLevel="0" collapsed="false">
      <c r="A8" s="8" t="s">
        <v>20</v>
      </c>
      <c r="B8" s="9" t="n">
        <f aca="false">SUM(B4:B7)</f>
        <v>1</v>
      </c>
      <c r="E8" s="10" t="n">
        <f aca="false">SUMPRODUCT(B4:B7,E4:E7)</f>
        <v>3.48196875763604</v>
      </c>
    </row>
    <row r="10" customFormat="false" ht="15" hidden="false" customHeight="false" outlineLevel="0" collapsed="false">
      <c r="A10" s="3" t="s">
        <v>21</v>
      </c>
      <c r="B10" s="3" t="s">
        <v>22</v>
      </c>
      <c r="C10" s="3" t="s">
        <v>23</v>
      </c>
      <c r="D10" s="3" t="s">
        <v>24</v>
      </c>
      <c r="E10" s="3" t="s">
        <v>25</v>
      </c>
      <c r="F10" s="3"/>
      <c r="G10" s="3"/>
      <c r="H10" s="3" t="s">
        <v>26</v>
      </c>
    </row>
    <row r="11" customFormat="false" ht="15" hidden="false" customHeight="false" outlineLevel="0" collapsed="false">
      <c r="A11" s="4" t="s">
        <v>27</v>
      </c>
      <c r="B11" s="11" t="n">
        <v>0.35</v>
      </c>
      <c r="C11" s="12" t="n">
        <f aca="false">E6</f>
        <v>0</v>
      </c>
      <c r="D11" s="12" t="n">
        <f aca="false">E8</f>
        <v>3.48196875763604</v>
      </c>
      <c r="E11" s="12" t="n">
        <f aca="false">E4</f>
        <v>17.0478030661176</v>
      </c>
      <c r="H11" s="13" t="s">
        <v>28</v>
      </c>
    </row>
    <row r="12" customFormat="false" ht="15" hidden="false" customHeight="false" outlineLevel="0" collapsed="false">
      <c r="A12" s="4" t="s">
        <v>29</v>
      </c>
      <c r="B12" s="11" t="n">
        <v>0.2</v>
      </c>
      <c r="C12" s="7" t="n">
        <f aca="false">MonteCarlo!B6</f>
        <v>0</v>
      </c>
      <c r="D12" s="7" t="n">
        <f aca="false">MonteCarlo!B4</f>
        <v>3.194</v>
      </c>
      <c r="E12" s="7" t="n">
        <f aca="false">MonteCarlo!B10</f>
        <v>10.8603</v>
      </c>
      <c r="H12" s="13" t="s">
        <v>30</v>
      </c>
    </row>
    <row r="13" customFormat="false" ht="15" hidden="false" customHeight="false" outlineLevel="0" collapsed="false">
      <c r="A13" s="4" t="s">
        <v>31</v>
      </c>
      <c r="B13" s="11" t="n">
        <v>0.1</v>
      </c>
      <c r="C13" s="7" t="n">
        <f aca="false">Merton!B21</f>
        <v>0.541049329249983</v>
      </c>
      <c r="D13" s="7" t="n">
        <f aca="false">Merton!B14</f>
        <v>5.60894487137876</v>
      </c>
      <c r="E13" s="7" t="n">
        <f aca="false">Merton!D21</f>
        <v>21.7174237875565</v>
      </c>
      <c r="H13" s="13" t="s">
        <v>32</v>
      </c>
    </row>
    <row r="14" customFormat="false" ht="15" hidden="false" customHeight="false" outlineLevel="0" collapsed="false">
      <c r="A14" s="4" t="s">
        <v>33</v>
      </c>
      <c r="B14" s="11" t="n">
        <v>0.1</v>
      </c>
      <c r="C14" s="7" t="n">
        <f aca="false">EPV!B16</f>
        <v>0</v>
      </c>
      <c r="D14" s="7" t="n">
        <f aca="false">EPV!D16</f>
        <v>0.154477075168499</v>
      </c>
      <c r="E14" s="7" t="n">
        <f aca="false">EPV!F16</f>
        <v>5.11821709332248</v>
      </c>
      <c r="H14" s="13" t="s">
        <v>34</v>
      </c>
    </row>
    <row r="15" customFormat="false" ht="15" hidden="false" customHeight="false" outlineLevel="0" collapsed="false">
      <c r="A15" s="4" t="s">
        <v>35</v>
      </c>
      <c r="B15" s="11" t="n">
        <v>0.15</v>
      </c>
      <c r="C15" s="7" t="n">
        <f aca="false">Comps!E46</f>
        <v>0</v>
      </c>
      <c r="D15" s="7" t="n">
        <f aca="false">Comps!E45</f>
        <v>5.95154996485544</v>
      </c>
      <c r="E15" s="7" t="n">
        <f aca="false">Comps!E47</f>
        <v>13.160441942989</v>
      </c>
      <c r="H15" s="13" t="s">
        <v>36</v>
      </c>
    </row>
    <row r="16" customFormat="false" ht="15" hidden="false" customHeight="false" outlineLevel="0" collapsed="false">
      <c r="A16" s="4" t="s">
        <v>37</v>
      </c>
      <c r="B16" s="11" t="n">
        <v>0.1</v>
      </c>
      <c r="C16" s="7" t="n">
        <f aca="false">SOTP!H14*0.5</f>
        <v>3.16591164594686</v>
      </c>
      <c r="D16" s="7" t="n">
        <f aca="false">SOTP!H14</f>
        <v>6.33182329189372</v>
      </c>
      <c r="E16" s="7" t="n">
        <f aca="false">SOTP!H14*1.5</f>
        <v>9.49773493784057</v>
      </c>
      <c r="H16" s="13" t="s">
        <v>38</v>
      </c>
    </row>
    <row r="17" customFormat="false" ht="15" hidden="false" customHeight="false" outlineLevel="0" collapsed="false">
      <c r="A17" s="4" t="s">
        <v>39</v>
      </c>
      <c r="B17" s="11" t="n">
        <v>0</v>
      </c>
      <c r="C17" s="14" t="n">
        <v>0</v>
      </c>
      <c r="D17" s="14" t="n">
        <v>3.5254</v>
      </c>
      <c r="E17" s="14" t="n">
        <v>8.5179</v>
      </c>
      <c r="H17" s="13" t="s">
        <v>40</v>
      </c>
    </row>
    <row r="18" customFormat="false" ht="15" hidden="false" customHeight="false" outlineLevel="0" collapsed="false">
      <c r="A18" s="4" t="s">
        <v>41</v>
      </c>
      <c r="B18" s="11" t="n">
        <v>0</v>
      </c>
      <c r="C18" s="7" t="n">
        <f aca="false">Transactions_Asset!B14</f>
        <v>0</v>
      </c>
      <c r="D18" s="7" t="n">
        <f aca="false">Transactions_Asset!B14</f>
        <v>0</v>
      </c>
      <c r="E18" s="7" t="n">
        <f aca="false">Transactions_Asset!B12</f>
        <v>4.49204414364729</v>
      </c>
      <c r="H18" s="13" t="s">
        <v>42</v>
      </c>
    </row>
    <row r="19" customFormat="false" ht="15" hidden="false" customHeight="false" outlineLevel="0" collapsed="false">
      <c r="A19" s="4" t="s">
        <v>43</v>
      </c>
      <c r="B19" s="11" t="n">
        <v>0</v>
      </c>
      <c r="C19" s="14" t="n">
        <v>0</v>
      </c>
      <c r="D19" s="7" t="n">
        <f aca="false">Transactions_Asset!D27</f>
        <v>0</v>
      </c>
      <c r="E19" s="7" t="n">
        <f aca="false">Transactions_Asset!D29</f>
        <v>7.44444444444445</v>
      </c>
      <c r="H19" s="13" t="s">
        <v>44</v>
      </c>
    </row>
    <row r="20" customFormat="false" ht="15" hidden="false" customHeight="false" outlineLevel="0" collapsed="false">
      <c r="A20" s="4" t="s">
        <v>45</v>
      </c>
      <c r="B20" s="11" t="n">
        <v>0</v>
      </c>
      <c r="C20" s="12"/>
      <c r="D20" s="12"/>
      <c r="E20" s="12"/>
      <c r="H20" s="13" t="s">
        <v>46</v>
      </c>
    </row>
    <row r="22" customFormat="false" ht="15" hidden="false" customHeight="false" outlineLevel="0" collapsed="false">
      <c r="A22" s="8" t="s">
        <v>47</v>
      </c>
      <c r="B22" s="9" t="n">
        <f aca="false">SUM(B11:B20)</f>
        <v>1</v>
      </c>
      <c r="D22" s="10" t="n">
        <f aca="false">SUMPRODUCT(B11:B20,D11:D20)/B22</f>
        <v>3.95974608374503</v>
      </c>
    </row>
    <row r="23" customFormat="false" ht="15" hidden="false" customHeight="false" outlineLevel="0" collapsed="false">
      <c r="A23" s="4" t="s">
        <v>48</v>
      </c>
      <c r="D23" s="7" t="n">
        <f aca="false">Drivers!B4</f>
        <v>5.125</v>
      </c>
    </row>
    <row r="24" customFormat="false" ht="15" hidden="false" customHeight="false" outlineLevel="0" collapsed="false">
      <c r="A24" s="4" t="s">
        <v>49</v>
      </c>
      <c r="D24" s="9" t="n">
        <f aca="false">D22/D23-1</f>
        <v>-0.227366617805848</v>
      </c>
    </row>
    <row r="26" customFormat="false" ht="15" hidden="false" customHeight="false" outlineLevel="0" collapsed="false">
      <c r="A26" s="8" t="s">
        <v>50</v>
      </c>
    </row>
    <row r="27" customFormat="false" ht="15" hidden="false" customHeight="false" outlineLevel="0" collapsed="false">
      <c r="B27" s="15" t="s">
        <v>51</v>
      </c>
      <c r="C27" s="15" t="s">
        <v>52</v>
      </c>
      <c r="D27" s="15" t="s">
        <v>53</v>
      </c>
      <c r="E27" s="15" t="s">
        <v>54</v>
      </c>
      <c r="F27" s="15" t="s">
        <v>55</v>
      </c>
    </row>
    <row r="28" customFormat="false" ht="15" hidden="false" customHeight="false" outlineLevel="0" collapsed="false">
      <c r="A28" s="4" t="s">
        <v>56</v>
      </c>
      <c r="B28" s="7" t="n">
        <f aca="false">MonteCarlo!B6</f>
        <v>0</v>
      </c>
      <c r="C28" s="7" t="n">
        <f aca="false">MonteCarlo!B7</f>
        <v>0</v>
      </c>
      <c r="D28" s="7" t="n">
        <f aca="false">MonteCarlo!B8</f>
        <v>0</v>
      </c>
      <c r="E28" s="7" t="n">
        <f aca="false">MonteCarlo!B9</f>
        <v>4.9773</v>
      </c>
      <c r="F28" s="7" t="n">
        <f aca="false">MonteCarlo!B10</f>
        <v>10.8603</v>
      </c>
    </row>
    <row r="29" customFormat="false" ht="15" hidden="false" customHeight="false" outlineLevel="0" collapsed="false">
      <c r="A29" s="4" t="s">
        <v>57</v>
      </c>
      <c r="B29" s="5" t="n">
        <f aca="false">MonteCarlo!B12</f>
        <v>0.2444</v>
      </c>
    </row>
    <row r="31" customFormat="false" ht="15" hidden="false" customHeight="false" outlineLevel="0" collapsed="false">
      <c r="A31" s="4" t="s">
        <v>58</v>
      </c>
      <c r="B31" s="16" t="n">
        <v>0.0669</v>
      </c>
    </row>
    <row r="32" customFormat="false" ht="15" hidden="false" customHeight="false" outlineLevel="0" collapsed="false">
      <c r="A32" s="4" t="s">
        <v>59</v>
      </c>
      <c r="B32" s="17" t="n">
        <v>0.0828</v>
      </c>
    </row>
    <row r="34" customFormat="false" ht="15" hidden="false" customHeight="false" outlineLevel="0" collapsed="false">
      <c r="A34" s="4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1" min="2" style="0" width="13"/>
    <col collapsed="false" customWidth="true" hidden="false" outlineLevel="0" max="12" min="12" style="0" width="70"/>
    <col collapsed="false" customWidth="true" hidden="false" outlineLevel="0" max="15" min="13" style="0" width="13"/>
  </cols>
  <sheetData>
    <row r="1" customFormat="false" ht="16.15" hidden="false" customHeight="false" outlineLevel="0" collapsed="false">
      <c r="A1" s="1" t="s">
        <v>61</v>
      </c>
    </row>
    <row r="3" customFormat="false" ht="15" hidden="false" customHeight="false" outlineLevel="0" collapsed="false">
      <c r="A3" s="8" t="s">
        <v>62</v>
      </c>
    </row>
    <row r="4" customFormat="false" ht="15" hidden="false" customHeight="false" outlineLevel="0" collapsed="false">
      <c r="A4" s="4" t="s">
        <v>63</v>
      </c>
      <c r="B4" s="14" t="n">
        <v>5.125</v>
      </c>
      <c r="L4" s="13" t="s">
        <v>64</v>
      </c>
    </row>
    <row r="5" customFormat="false" ht="15" hidden="false" customHeight="false" outlineLevel="0" collapsed="false">
      <c r="A5" s="4" t="s">
        <v>65</v>
      </c>
      <c r="B5" s="18" t="n">
        <v>290</v>
      </c>
      <c r="L5" s="13" t="s">
        <v>66</v>
      </c>
    </row>
    <row r="6" customFormat="false" ht="15" hidden="false" customHeight="false" outlineLevel="0" collapsed="false">
      <c r="A6" s="4" t="s">
        <v>67</v>
      </c>
      <c r="B6" s="19" t="n">
        <v>0.24</v>
      </c>
    </row>
    <row r="8" customFormat="false" ht="15" hidden="false" customHeight="false" outlineLevel="0" collapsed="false">
      <c r="A8" s="8" t="s">
        <v>68</v>
      </c>
    </row>
    <row r="9" customFormat="false" ht="15" hidden="false" customHeight="false" outlineLevel="0" collapsed="false">
      <c r="A9" s="4" t="s">
        <v>69</v>
      </c>
      <c r="B9" s="17" t="n">
        <v>0.052</v>
      </c>
      <c r="L9" s="13" t="s">
        <v>70</v>
      </c>
    </row>
    <row r="10" customFormat="false" ht="15" hidden="false" customHeight="false" outlineLevel="0" collapsed="false">
      <c r="A10" s="4" t="s">
        <v>71</v>
      </c>
      <c r="B10" s="17" t="n">
        <v>0.045</v>
      </c>
      <c r="L10" s="13" t="s">
        <v>72</v>
      </c>
    </row>
    <row r="11" customFormat="false" ht="15" hidden="false" customHeight="false" outlineLevel="0" collapsed="false">
      <c r="A11" s="4" t="s">
        <v>73</v>
      </c>
      <c r="B11" s="19" t="n">
        <v>1</v>
      </c>
      <c r="L11" s="13" t="s">
        <v>74</v>
      </c>
    </row>
    <row r="12" customFormat="false" ht="15" hidden="false" customHeight="false" outlineLevel="0" collapsed="false">
      <c r="A12" s="4" t="s">
        <v>75</v>
      </c>
      <c r="B12" s="19" t="n">
        <v>0.5</v>
      </c>
      <c r="L12" s="13" t="s">
        <v>76</v>
      </c>
    </row>
    <row r="13" customFormat="false" ht="15" hidden="false" customHeight="false" outlineLevel="0" collapsed="false">
      <c r="A13" s="4" t="s">
        <v>77</v>
      </c>
      <c r="B13" s="16" t="n">
        <v>0.5</v>
      </c>
    </row>
    <row r="14" customFormat="false" ht="15" hidden="false" customHeight="false" outlineLevel="0" collapsed="false">
      <c r="A14" s="4" t="s">
        <v>78</v>
      </c>
      <c r="B14" s="16" t="n">
        <v>0.1</v>
      </c>
      <c r="L14" s="13" t="s">
        <v>79</v>
      </c>
    </row>
    <row r="15" customFormat="false" ht="15" hidden="false" customHeight="false" outlineLevel="0" collapsed="false">
      <c r="A15" s="4" t="s">
        <v>80</v>
      </c>
      <c r="B15" s="20" t="n">
        <f aca="false">B9+B11*B10</f>
        <v>0.097</v>
      </c>
    </row>
    <row r="16" customFormat="false" ht="15" hidden="false" customHeight="false" outlineLevel="0" collapsed="false">
      <c r="A16" s="4" t="s">
        <v>81</v>
      </c>
      <c r="B16" s="20" t="n">
        <f aca="false">B9+B12*B10</f>
        <v>0.0745</v>
      </c>
    </row>
    <row r="17" customFormat="false" ht="15" hidden="false" customHeight="false" outlineLevel="0" collapsed="false">
      <c r="A17" s="4" t="s">
        <v>82</v>
      </c>
      <c r="B17" s="21" t="n">
        <f aca="false">B13/(1-B13)</f>
        <v>1</v>
      </c>
    </row>
    <row r="18" customFormat="false" ht="15" hidden="false" customHeight="false" outlineLevel="0" collapsed="false">
      <c r="A18" s="4" t="s">
        <v>83</v>
      </c>
      <c r="B18" s="21" t="n">
        <f aca="false">B11+(B11-B12)*B17*(1-B14)</f>
        <v>1.45</v>
      </c>
    </row>
    <row r="19" customFormat="false" ht="15" hidden="false" customHeight="false" outlineLevel="0" collapsed="false">
      <c r="A19" s="4" t="s">
        <v>84</v>
      </c>
      <c r="B19" s="20" t="n">
        <f aca="false">B9+B18*B10</f>
        <v>0.11725</v>
      </c>
    </row>
    <row r="20" customFormat="false" ht="15" hidden="false" customHeight="false" outlineLevel="0" collapsed="false">
      <c r="A20" s="4" t="s">
        <v>85</v>
      </c>
      <c r="B20" s="20" t="n">
        <f aca="false">(1-B13)*B19+B13*B16*(1-B14)</f>
        <v>0.09215</v>
      </c>
    </row>
    <row r="21" customFormat="false" ht="15" hidden="false" customHeight="false" outlineLevel="0" collapsed="false">
      <c r="A21" s="4" t="s">
        <v>86</v>
      </c>
      <c r="B21" s="22" t="n">
        <v>0.0925</v>
      </c>
      <c r="L21" s="13" t="s">
        <v>87</v>
      </c>
    </row>
    <row r="22" customFormat="false" ht="15" hidden="false" customHeight="false" outlineLevel="0" collapsed="false">
      <c r="A22" s="4" t="s">
        <v>88</v>
      </c>
      <c r="B22" s="23" t="n">
        <f aca="false">(1+B19)^B6</f>
        <v>1.02696605119992</v>
      </c>
    </row>
    <row r="24" customFormat="false" ht="15" hidden="false" customHeight="false" outlineLevel="0" collapsed="false">
      <c r="A24" s="8" t="s">
        <v>89</v>
      </c>
    </row>
    <row r="25" customFormat="false" ht="15" hidden="false" customHeight="false" outlineLevel="0" collapsed="false">
      <c r="A25" s="4" t="s">
        <v>90</v>
      </c>
      <c r="B25" s="24" t="n">
        <v>7190</v>
      </c>
      <c r="L25" s="13" t="s">
        <v>91</v>
      </c>
    </row>
    <row r="26" customFormat="false" ht="15" hidden="false" customHeight="false" outlineLevel="0" collapsed="false">
      <c r="A26" s="4" t="s">
        <v>92</v>
      </c>
      <c r="B26" s="24" t="n">
        <v>861</v>
      </c>
      <c r="L26" s="13" t="s">
        <v>93</v>
      </c>
    </row>
    <row r="27" customFormat="false" ht="15" hidden="false" customHeight="false" outlineLevel="0" collapsed="false">
      <c r="A27" s="4" t="s">
        <v>94</v>
      </c>
      <c r="B27" s="25" t="n">
        <f aca="false">B25-B26</f>
        <v>6329</v>
      </c>
    </row>
    <row r="28" customFormat="false" ht="15" hidden="false" customHeight="false" outlineLevel="0" collapsed="false">
      <c r="A28" s="4" t="s">
        <v>95</v>
      </c>
      <c r="B28" s="24" t="n">
        <v>369</v>
      </c>
      <c r="L28" s="13" t="s">
        <v>96</v>
      </c>
    </row>
    <row r="29" customFormat="false" ht="15" hidden="false" customHeight="false" outlineLevel="0" collapsed="false">
      <c r="A29" s="4" t="s">
        <v>97</v>
      </c>
      <c r="B29" s="24" t="n">
        <v>50</v>
      </c>
      <c r="L29" s="13" t="s">
        <v>98</v>
      </c>
    </row>
    <row r="30" customFormat="false" ht="15" hidden="false" customHeight="false" outlineLevel="0" collapsed="false">
      <c r="A30" s="4" t="s">
        <v>99</v>
      </c>
      <c r="B30" s="24" t="n">
        <v>162</v>
      </c>
    </row>
    <row r="31" customFormat="false" ht="15" hidden="false" customHeight="false" outlineLevel="0" collapsed="false">
      <c r="A31" s="4" t="s">
        <v>100</v>
      </c>
      <c r="B31" s="25" t="n">
        <f aca="false">B27+B28+B29+B30</f>
        <v>6910</v>
      </c>
    </row>
    <row r="33" customFormat="false" ht="15" hidden="false" customHeight="false" outlineLevel="0" collapsed="false">
      <c r="A33" s="8" t="s">
        <v>101</v>
      </c>
    </row>
    <row r="34" customFormat="false" ht="15" hidden="false" customHeight="false" outlineLevel="0" collapsed="false">
      <c r="A34" s="4" t="s">
        <v>102</v>
      </c>
      <c r="B34" s="24" t="n">
        <v>17450</v>
      </c>
      <c r="L34" s="13" t="s">
        <v>103</v>
      </c>
    </row>
    <row r="35" customFormat="false" ht="15" hidden="false" customHeight="false" outlineLevel="0" collapsed="false">
      <c r="A35" s="4" t="s">
        <v>104</v>
      </c>
      <c r="B35" s="24" t="n">
        <v>150</v>
      </c>
      <c r="L35" s="13" t="s">
        <v>105</v>
      </c>
    </row>
    <row r="36" customFormat="false" ht="15" hidden="false" customHeight="false" outlineLevel="0" collapsed="false">
      <c r="A36" s="4" t="s">
        <v>106</v>
      </c>
      <c r="B36" s="16" t="n">
        <v>0.025</v>
      </c>
    </row>
    <row r="37" customFormat="false" ht="15" hidden="false" customHeight="false" outlineLevel="0" collapsed="false">
      <c r="A37" s="4" t="s">
        <v>107</v>
      </c>
      <c r="B37" s="16" t="n">
        <v>0.115</v>
      </c>
      <c r="L37" s="13" t="s">
        <v>108</v>
      </c>
    </row>
    <row r="38" customFormat="false" ht="15" hidden="false" customHeight="false" outlineLevel="0" collapsed="false">
      <c r="A38" s="4" t="s">
        <v>109</v>
      </c>
      <c r="B38" s="24" t="n">
        <v>35</v>
      </c>
      <c r="L38" s="13" t="s">
        <v>110</v>
      </c>
    </row>
    <row r="39" customFormat="false" ht="15" hidden="false" customHeight="false" outlineLevel="0" collapsed="false">
      <c r="A39" s="4" t="s">
        <v>111</v>
      </c>
      <c r="B39" s="24" t="n">
        <v>150</v>
      </c>
      <c r="L39" s="13" t="s">
        <v>112</v>
      </c>
    </row>
    <row r="40" customFormat="false" ht="15" hidden="false" customHeight="false" outlineLevel="0" collapsed="false">
      <c r="A40" s="4" t="s">
        <v>113</v>
      </c>
      <c r="B40" s="16" t="n">
        <v>0.025</v>
      </c>
    </row>
    <row r="41" customFormat="false" ht="15" hidden="false" customHeight="false" outlineLevel="0" collapsed="false">
      <c r="A41" s="4" t="s">
        <v>114</v>
      </c>
      <c r="B41" s="16" t="n">
        <v>0.2</v>
      </c>
      <c r="L41" s="13" t="s">
        <v>115</v>
      </c>
    </row>
    <row r="42" customFormat="false" ht="15" hidden="false" customHeight="false" outlineLevel="0" collapsed="false">
      <c r="A42" s="4" t="s">
        <v>116</v>
      </c>
      <c r="B42" s="11" t="n">
        <v>0.24</v>
      </c>
    </row>
    <row r="43" customFormat="false" ht="15" hidden="false" customHeight="false" outlineLevel="0" collapsed="false">
      <c r="A43" s="4" t="s">
        <v>117</v>
      </c>
      <c r="B43" s="24" t="n">
        <v>900</v>
      </c>
      <c r="L43" s="13" t="s">
        <v>118</v>
      </c>
    </row>
    <row r="44" customFormat="false" ht="15" hidden="false" customHeight="false" outlineLevel="0" collapsed="false">
      <c r="A44" s="4" t="s">
        <v>119</v>
      </c>
      <c r="B44" s="24" t="n">
        <v>225</v>
      </c>
      <c r="L44" s="13" t="s">
        <v>120</v>
      </c>
    </row>
    <row r="47" customFormat="false" ht="15" hidden="false" customHeight="false" outlineLevel="0" collapsed="false">
      <c r="A47" s="8" t="s">
        <v>121</v>
      </c>
      <c r="C47" s="26" t="n">
        <v>2027</v>
      </c>
      <c r="D47" s="26" t="n">
        <v>2028</v>
      </c>
      <c r="E47" s="26" t="n">
        <v>2029</v>
      </c>
      <c r="F47" s="26" t="n">
        <v>2030</v>
      </c>
      <c r="G47" s="26" t="n">
        <v>2031</v>
      </c>
      <c r="H47" s="26" t="n">
        <v>2032</v>
      </c>
      <c r="I47" s="26" t="n">
        <v>2033</v>
      </c>
      <c r="J47" s="26" t="n">
        <v>2034</v>
      </c>
      <c r="K47" s="26" t="n">
        <v>2035</v>
      </c>
    </row>
    <row r="48" customFormat="false" ht="15" hidden="false" customHeight="false" outlineLevel="0" collapsed="false">
      <c r="A48" s="4" t="s">
        <v>122</v>
      </c>
      <c r="C48" s="24" t="n">
        <v>55</v>
      </c>
      <c r="D48" s="24" t="n">
        <v>55</v>
      </c>
      <c r="E48" s="24" t="n">
        <v>55</v>
      </c>
      <c r="F48" s="24" t="n">
        <v>55</v>
      </c>
      <c r="G48" s="24" t="n">
        <v>40</v>
      </c>
      <c r="H48" s="24" t="n">
        <v>0</v>
      </c>
      <c r="I48" s="24" t="n">
        <v>0</v>
      </c>
      <c r="J48" s="24" t="n">
        <v>0</v>
      </c>
      <c r="K48" s="24" t="n">
        <v>0</v>
      </c>
      <c r="L48" s="13" t="s">
        <v>123</v>
      </c>
    </row>
    <row r="51" customFormat="false" ht="15" hidden="false" customHeight="false" outlineLevel="0" collapsed="false">
      <c r="A51" s="3" t="s">
        <v>124</v>
      </c>
      <c r="B51" s="3" t="s">
        <v>16</v>
      </c>
      <c r="C51" s="3" t="s">
        <v>17</v>
      </c>
      <c r="D51" s="3" t="s">
        <v>18</v>
      </c>
    </row>
    <row r="52" customFormat="false" ht="15" hidden="false" customHeight="false" outlineLevel="0" collapsed="false">
      <c r="A52" s="4" t="s">
        <v>125</v>
      </c>
      <c r="B52" s="11" t="n">
        <v>0.15</v>
      </c>
      <c r="C52" s="11" t="n">
        <v>0.45</v>
      </c>
      <c r="D52" s="11" t="n">
        <v>0.28</v>
      </c>
      <c r="L52" s="13" t="s">
        <v>126</v>
      </c>
    </row>
    <row r="53" customFormat="false" ht="15" hidden="false" customHeight="false" outlineLevel="0" collapsed="false">
      <c r="A53" s="4" t="s">
        <v>127</v>
      </c>
      <c r="B53" s="27" t="n">
        <v>962</v>
      </c>
      <c r="C53" s="27" t="n">
        <v>862</v>
      </c>
      <c r="D53" s="27" t="n">
        <v>737</v>
      </c>
      <c r="L53" s="13" t="s">
        <v>128</v>
      </c>
    </row>
    <row r="54" customFormat="false" ht="15" hidden="false" customHeight="false" outlineLevel="0" collapsed="false">
      <c r="A54" s="4" t="s">
        <v>129</v>
      </c>
      <c r="B54" s="11" t="n">
        <v>0.043</v>
      </c>
      <c r="C54" s="11" t="n">
        <v>0.046</v>
      </c>
      <c r="D54" s="11" t="n">
        <v>0.048</v>
      </c>
      <c r="L54" s="13" t="s">
        <v>130</v>
      </c>
    </row>
    <row r="55" customFormat="false" ht="15" hidden="false" customHeight="false" outlineLevel="0" collapsed="false">
      <c r="A55" s="4" t="s">
        <v>131</v>
      </c>
      <c r="B55" s="27" t="n">
        <v>775</v>
      </c>
      <c r="C55" s="27" t="n">
        <v>775</v>
      </c>
      <c r="D55" s="27" t="n">
        <v>750</v>
      </c>
    </row>
    <row r="56" customFormat="false" ht="15" hidden="false" customHeight="false" outlineLevel="0" collapsed="false">
      <c r="A56" s="4" t="s">
        <v>132</v>
      </c>
      <c r="B56" s="27" t="n">
        <v>230</v>
      </c>
      <c r="C56" s="27" t="n">
        <v>250</v>
      </c>
      <c r="D56" s="27" t="n">
        <v>275</v>
      </c>
      <c r="L56" s="13" t="s">
        <v>133</v>
      </c>
    </row>
    <row r="57" customFormat="false" ht="15" hidden="false" customHeight="false" outlineLevel="0" collapsed="false">
      <c r="A57" s="4" t="s">
        <v>134</v>
      </c>
      <c r="B57" s="27" t="n">
        <v>110</v>
      </c>
      <c r="C57" s="27" t="n">
        <v>150</v>
      </c>
      <c r="D57" s="27" t="n">
        <v>175</v>
      </c>
    </row>
    <row r="58" customFormat="false" ht="15" hidden="false" customHeight="false" outlineLevel="0" collapsed="false">
      <c r="A58" s="4" t="s">
        <v>135</v>
      </c>
      <c r="B58" s="27" t="n">
        <v>75</v>
      </c>
      <c r="C58" s="27" t="n">
        <v>100</v>
      </c>
      <c r="D58" s="27" t="n">
        <v>150</v>
      </c>
      <c r="L58" s="13" t="s">
        <v>136</v>
      </c>
    </row>
    <row r="59" customFormat="false" ht="15" hidden="false" customHeight="false" outlineLevel="0" collapsed="false">
      <c r="A59" s="4" t="s">
        <v>137</v>
      </c>
      <c r="B59" s="11" t="n">
        <v>0.02</v>
      </c>
      <c r="C59" s="11" t="n">
        <v>0.015</v>
      </c>
      <c r="D59" s="11" t="n">
        <v>0.01</v>
      </c>
    </row>
    <row r="60" customFormat="false" ht="15" hidden="false" customHeight="false" outlineLevel="0" collapsed="false">
      <c r="A60" s="4" t="s">
        <v>138</v>
      </c>
      <c r="B60" s="11" t="n">
        <v>0.11</v>
      </c>
      <c r="C60" s="28" t="n">
        <f aca="false">B21</f>
        <v>0.0925</v>
      </c>
      <c r="D60" s="11" t="n">
        <v>0.07</v>
      </c>
    </row>
    <row r="62" customFormat="false" ht="15" hidden="false" customHeight="false" outlineLevel="0" collapsed="false">
      <c r="A62" s="4" t="s">
        <v>139</v>
      </c>
      <c r="B62" s="11" t="n">
        <v>0.12</v>
      </c>
    </row>
    <row r="63" customFormat="false" ht="15" hidden="false" customHeight="false" outlineLevel="0" collapsed="false">
      <c r="A63" s="4" t="s">
        <v>140</v>
      </c>
      <c r="B63" s="29" t="n">
        <v>0.2</v>
      </c>
      <c r="L63" s="13" t="s">
        <v>141</v>
      </c>
    </row>
    <row r="64" customFormat="false" ht="15" hidden="false" customHeight="false" outlineLevel="0" collapsed="false">
      <c r="A64" s="4" t="s">
        <v>142</v>
      </c>
      <c r="B64" s="9" t="n">
        <f aca="false">SUM(B52:D52)+B62</f>
        <v>1</v>
      </c>
    </row>
    <row r="66" customFormat="false" ht="15" hidden="false" customHeight="false" outlineLevel="0" collapsed="false">
      <c r="A66" s="3" t="s">
        <v>143</v>
      </c>
      <c r="B66" s="3"/>
      <c r="C66" s="3" t="s">
        <v>144</v>
      </c>
      <c r="D66" s="3" t="s">
        <v>145</v>
      </c>
      <c r="E66" s="3" t="s">
        <v>146</v>
      </c>
      <c r="F66" s="3" t="s">
        <v>147</v>
      </c>
      <c r="G66" s="3" t="s">
        <v>148</v>
      </c>
      <c r="H66" s="3" t="s">
        <v>149</v>
      </c>
      <c r="I66" s="3" t="s">
        <v>150</v>
      </c>
      <c r="J66" s="3" t="s">
        <v>151</v>
      </c>
      <c r="K66" s="3" t="s">
        <v>152</v>
      </c>
    </row>
    <row r="67" customFormat="false" ht="15" hidden="false" customHeight="false" outlineLevel="0" collapsed="false">
      <c r="A67" s="4" t="s">
        <v>16</v>
      </c>
      <c r="C67" s="11" t="n">
        <v>0.03</v>
      </c>
      <c r="D67" s="11" t="n">
        <v>0.035</v>
      </c>
      <c r="E67" s="11" t="n">
        <v>0.03</v>
      </c>
      <c r="F67" s="11" t="n">
        <v>0.03</v>
      </c>
      <c r="G67" s="11" t="n">
        <v>0.03</v>
      </c>
      <c r="H67" s="11" t="n">
        <v>0.025</v>
      </c>
      <c r="I67" s="11" t="n">
        <v>0.025</v>
      </c>
      <c r="J67" s="11" t="n">
        <v>0.025</v>
      </c>
      <c r="K67" s="11" t="n">
        <v>0.025</v>
      </c>
    </row>
    <row r="68" customFormat="false" ht="15" hidden="false" customHeight="false" outlineLevel="0" collapsed="false">
      <c r="A68" s="4" t="s">
        <v>17</v>
      </c>
      <c r="C68" s="11" t="n">
        <v>0.02</v>
      </c>
      <c r="D68" s="11" t="n">
        <v>0.025</v>
      </c>
      <c r="E68" s="11" t="n">
        <v>0.025</v>
      </c>
      <c r="F68" s="11" t="n">
        <v>0.025</v>
      </c>
      <c r="G68" s="11" t="n">
        <v>0.025</v>
      </c>
      <c r="H68" s="11" t="n">
        <v>0.02</v>
      </c>
      <c r="I68" s="11" t="n">
        <v>0.02</v>
      </c>
      <c r="J68" s="11" t="n">
        <v>0.02</v>
      </c>
      <c r="K68" s="11" t="n">
        <v>0.02</v>
      </c>
    </row>
    <row r="69" customFormat="false" ht="15" hidden="false" customHeight="false" outlineLevel="0" collapsed="false">
      <c r="A69" s="4" t="s">
        <v>18</v>
      </c>
      <c r="C69" s="11" t="n">
        <v>0.005</v>
      </c>
      <c r="D69" s="11" t="n">
        <v>0.01</v>
      </c>
      <c r="E69" s="11" t="n">
        <v>0.01</v>
      </c>
      <c r="F69" s="11" t="n">
        <v>0.01</v>
      </c>
      <c r="G69" s="11" t="n">
        <v>0.01</v>
      </c>
      <c r="H69" s="11" t="n">
        <v>0.01</v>
      </c>
      <c r="I69" s="11" t="n">
        <v>0.01</v>
      </c>
      <c r="J69" s="11" t="n">
        <v>0.01</v>
      </c>
      <c r="K69" s="11" t="n">
        <v>0.01</v>
      </c>
    </row>
    <row r="71" customFormat="false" ht="15" hidden="false" customHeight="false" outlineLevel="0" collapsed="false">
      <c r="A71" s="3" t="s">
        <v>153</v>
      </c>
      <c r="B71" s="3"/>
      <c r="C71" s="3" t="s">
        <v>144</v>
      </c>
      <c r="D71" s="3" t="s">
        <v>145</v>
      </c>
      <c r="E71" s="3" t="s">
        <v>146</v>
      </c>
      <c r="F71" s="3" t="s">
        <v>147</v>
      </c>
      <c r="G71" s="3" t="s">
        <v>148</v>
      </c>
      <c r="H71" s="3" t="s">
        <v>149</v>
      </c>
      <c r="I71" s="3" t="s">
        <v>150</v>
      </c>
      <c r="J71" s="3" t="s">
        <v>151</v>
      </c>
      <c r="K71" s="3" t="s">
        <v>152</v>
      </c>
    </row>
    <row r="72" customFormat="false" ht="15" hidden="false" customHeight="false" outlineLevel="0" collapsed="false">
      <c r="A72" s="4" t="s">
        <v>16</v>
      </c>
      <c r="C72" s="11" t="n">
        <v>0.06</v>
      </c>
      <c r="D72" s="11" t="n">
        <v>0.07</v>
      </c>
      <c r="E72" s="11" t="n">
        <v>0.078</v>
      </c>
      <c r="F72" s="11" t="n">
        <v>0.08</v>
      </c>
      <c r="G72" s="11" t="n">
        <v>0.08</v>
      </c>
      <c r="H72" s="11" t="n">
        <v>0.08</v>
      </c>
      <c r="I72" s="11" t="n">
        <v>0.08</v>
      </c>
      <c r="J72" s="11" t="n">
        <v>0.08</v>
      </c>
      <c r="K72" s="11" t="n">
        <v>0.08</v>
      </c>
      <c r="L72" s="13" t="s">
        <v>154</v>
      </c>
    </row>
    <row r="73" customFormat="false" ht="15" hidden="false" customHeight="false" outlineLevel="0" collapsed="false">
      <c r="A73" s="4" t="s">
        <v>17</v>
      </c>
      <c r="C73" s="11" t="n">
        <v>0.05</v>
      </c>
      <c r="D73" s="11" t="n">
        <v>0.056</v>
      </c>
      <c r="E73" s="11" t="n">
        <v>0.059</v>
      </c>
      <c r="F73" s="11" t="n">
        <v>0.06</v>
      </c>
      <c r="G73" s="11" t="n">
        <v>0.06</v>
      </c>
      <c r="H73" s="11" t="n">
        <v>0.06</v>
      </c>
      <c r="I73" s="11" t="n">
        <v>0.06</v>
      </c>
      <c r="J73" s="11" t="n">
        <v>0.06</v>
      </c>
      <c r="K73" s="11" t="n">
        <v>0.06</v>
      </c>
    </row>
    <row r="74" customFormat="false" ht="15" hidden="false" customHeight="false" outlineLevel="0" collapsed="false">
      <c r="A74" s="4" t="s">
        <v>18</v>
      </c>
      <c r="C74" s="11" t="n">
        <v>0.038</v>
      </c>
      <c r="D74" s="11" t="n">
        <v>0.04</v>
      </c>
      <c r="E74" s="11" t="n">
        <v>0.04</v>
      </c>
      <c r="F74" s="11" t="n">
        <v>0.04</v>
      </c>
      <c r="G74" s="11" t="n">
        <v>0.04</v>
      </c>
      <c r="H74" s="11" t="n">
        <v>0.04</v>
      </c>
      <c r="I74" s="11" t="n">
        <v>0.04</v>
      </c>
      <c r="J74" s="11" t="n">
        <v>0.04</v>
      </c>
      <c r="K74" s="11" t="n">
        <v>0.04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5" min="2" style="0" width="13"/>
  </cols>
  <sheetData>
    <row r="1" customFormat="false" ht="16.15" hidden="false" customHeight="false" outlineLevel="0" collapsed="false">
      <c r="A1" s="1" t="s">
        <v>155</v>
      </c>
    </row>
    <row r="3" customFormat="false" ht="15" hidden="false" customHeight="false" outlineLevel="0" collapsed="false">
      <c r="A3" s="3" t="s">
        <v>156</v>
      </c>
      <c r="B3" s="3" t="s">
        <v>157</v>
      </c>
      <c r="C3" s="3" t="s">
        <v>144</v>
      </c>
      <c r="D3" s="3" t="s">
        <v>145</v>
      </c>
      <c r="E3" s="3" t="s">
        <v>146</v>
      </c>
      <c r="F3" s="3" t="s">
        <v>147</v>
      </c>
      <c r="G3" s="3" t="s">
        <v>148</v>
      </c>
      <c r="H3" s="3" t="s">
        <v>149</v>
      </c>
      <c r="I3" s="3" t="s">
        <v>150</v>
      </c>
      <c r="J3" s="3" t="s">
        <v>151</v>
      </c>
      <c r="K3" s="3" t="s">
        <v>152</v>
      </c>
    </row>
    <row r="4" customFormat="false" ht="15" hidden="false" customHeight="false" outlineLevel="0" collapsed="false">
      <c r="A4" s="4" t="s">
        <v>158</v>
      </c>
      <c r="B4" s="30" t="n">
        <v>2026.5</v>
      </c>
      <c r="C4" s="31" t="n">
        <v>2027</v>
      </c>
      <c r="D4" s="31" t="n">
        <v>2028</v>
      </c>
      <c r="E4" s="31" t="n">
        <v>2029</v>
      </c>
      <c r="F4" s="31" t="n">
        <v>2030</v>
      </c>
      <c r="G4" s="31" t="n">
        <v>2031</v>
      </c>
      <c r="H4" s="31" t="n">
        <v>2032</v>
      </c>
      <c r="I4" s="31" t="n">
        <v>2033</v>
      </c>
      <c r="J4" s="31" t="n">
        <v>2034</v>
      </c>
      <c r="K4" s="31" t="n">
        <v>2035</v>
      </c>
    </row>
    <row r="5" customFormat="false" ht="15" hidden="false" customHeight="false" outlineLevel="0" collapsed="false">
      <c r="A5" s="4" t="s">
        <v>159</v>
      </c>
      <c r="B5" s="19" t="n">
        <v>0.25</v>
      </c>
      <c r="C5" s="21" t="n">
        <f aca="false">C4-2026</f>
        <v>1</v>
      </c>
      <c r="D5" s="21" t="n">
        <f aca="false">D4-2026</f>
        <v>2</v>
      </c>
      <c r="E5" s="21" t="n">
        <f aca="false">E4-2026</f>
        <v>3</v>
      </c>
      <c r="F5" s="21" t="n">
        <f aca="false">F4-2026</f>
        <v>4</v>
      </c>
      <c r="G5" s="21" t="n">
        <f aca="false">G4-2026</f>
        <v>5</v>
      </c>
      <c r="H5" s="21" t="n">
        <f aca="false">H4-2026</f>
        <v>6</v>
      </c>
      <c r="I5" s="21" t="n">
        <f aca="false">I4-2026</f>
        <v>7</v>
      </c>
      <c r="J5" s="21" t="n">
        <f aca="false">J4-2026</f>
        <v>8</v>
      </c>
      <c r="K5" s="21" t="n">
        <f aca="false">K4-2026</f>
        <v>9</v>
      </c>
    </row>
    <row r="6" customFormat="false" ht="15" hidden="false" customHeight="false" outlineLevel="0" collapsed="false">
      <c r="A6" s="4" t="s">
        <v>160</v>
      </c>
      <c r="B6" s="6" t="n">
        <f aca="false">Drivers!$B$34</f>
        <v>17450</v>
      </c>
      <c r="C6" s="25" t="n">
        <f aca="false">B6*(1+C7)</f>
        <v>17973.5</v>
      </c>
      <c r="D6" s="25" t="n">
        <f aca="false">C6*(1+D7)</f>
        <v>18602.5725</v>
      </c>
      <c r="E6" s="25" t="n">
        <f aca="false">D6*(1+E7)</f>
        <v>19160.649675</v>
      </c>
      <c r="F6" s="25" t="n">
        <f aca="false">E6*(1+F7)</f>
        <v>19735.46916525</v>
      </c>
      <c r="G6" s="25" t="n">
        <f aca="false">F6*(1+G7)</f>
        <v>20327.5332402075</v>
      </c>
      <c r="H6" s="25" t="n">
        <f aca="false">G6*(1+H7)</f>
        <v>20835.7215712127</v>
      </c>
      <c r="I6" s="25" t="n">
        <f aca="false">H6*(1+I7)</f>
        <v>21356.614610493</v>
      </c>
      <c r="J6" s="25" t="n">
        <f aca="false">I6*(1+J7)</f>
        <v>21890.5299757553</v>
      </c>
      <c r="K6" s="25" t="n">
        <f aca="false">J6*(1+K7)</f>
        <v>22437.7932251492</v>
      </c>
    </row>
    <row r="7" customFormat="false" ht="15" hidden="false" customHeight="false" outlineLevel="0" collapsed="false">
      <c r="A7" s="4" t="s">
        <v>143</v>
      </c>
      <c r="C7" s="5" t="n">
        <f aca="false">Drivers!C67</f>
        <v>0.03</v>
      </c>
      <c r="D7" s="5" t="n">
        <f aca="false">Drivers!D67</f>
        <v>0.035</v>
      </c>
      <c r="E7" s="5" t="n">
        <f aca="false">Drivers!E67</f>
        <v>0.03</v>
      </c>
      <c r="F7" s="5" t="n">
        <f aca="false">Drivers!F67</f>
        <v>0.03</v>
      </c>
      <c r="G7" s="5" t="n">
        <f aca="false">Drivers!G67</f>
        <v>0.03</v>
      </c>
      <c r="H7" s="5" t="n">
        <f aca="false">Drivers!H67</f>
        <v>0.025</v>
      </c>
      <c r="I7" s="5" t="n">
        <f aca="false">Drivers!I67</f>
        <v>0.025</v>
      </c>
      <c r="J7" s="5" t="n">
        <f aca="false">Drivers!J67</f>
        <v>0.025</v>
      </c>
      <c r="K7" s="5" t="n">
        <f aca="false">Drivers!K67</f>
        <v>0.025</v>
      </c>
    </row>
    <row r="8" customFormat="false" ht="15" hidden="false" customHeight="false" outlineLevel="0" collapsed="false">
      <c r="A8" s="4" t="s">
        <v>153</v>
      </c>
      <c r="C8" s="5" t="n">
        <f aca="false">Drivers!C72</f>
        <v>0.06</v>
      </c>
      <c r="D8" s="5" t="n">
        <f aca="false">Drivers!D72</f>
        <v>0.07</v>
      </c>
      <c r="E8" s="5" t="n">
        <f aca="false">Drivers!E72</f>
        <v>0.078</v>
      </c>
      <c r="F8" s="5" t="n">
        <f aca="false">Drivers!F72</f>
        <v>0.08</v>
      </c>
      <c r="G8" s="5" t="n">
        <f aca="false">Drivers!G72</f>
        <v>0.08</v>
      </c>
      <c r="H8" s="5" t="n">
        <f aca="false">Drivers!H72</f>
        <v>0.08</v>
      </c>
      <c r="I8" s="5" t="n">
        <f aca="false">Drivers!I72</f>
        <v>0.08</v>
      </c>
      <c r="J8" s="5" t="n">
        <f aca="false">Drivers!J72</f>
        <v>0.08</v>
      </c>
      <c r="K8" s="5" t="n">
        <f aca="false">Drivers!K72</f>
        <v>0.08</v>
      </c>
    </row>
    <row r="9" customFormat="false" ht="15" hidden="false" customHeight="false" outlineLevel="0" collapsed="false">
      <c r="A9" s="4" t="s">
        <v>161</v>
      </c>
      <c r="C9" s="25" t="n">
        <f aca="false">C6*C8</f>
        <v>1078.41</v>
      </c>
      <c r="D9" s="25" t="n">
        <f aca="false">D6*D8</f>
        <v>1302.180075</v>
      </c>
      <c r="E9" s="25" t="n">
        <f aca="false">E6*E8</f>
        <v>1494.53067465</v>
      </c>
      <c r="F9" s="25" t="n">
        <f aca="false">F6*F8</f>
        <v>1578.83753322</v>
      </c>
      <c r="G9" s="25" t="n">
        <f aca="false">G6*G8</f>
        <v>1626.2026592166</v>
      </c>
      <c r="H9" s="25" t="n">
        <f aca="false">H6*H8</f>
        <v>1666.85772569701</v>
      </c>
      <c r="I9" s="25" t="n">
        <f aca="false">I6*I8</f>
        <v>1708.52916883944</v>
      </c>
      <c r="J9" s="25" t="n">
        <f aca="false">J6*J8</f>
        <v>1751.24239806043</v>
      </c>
      <c r="K9" s="25" t="n">
        <f aca="false">K6*K8</f>
        <v>1795.02345801194</v>
      </c>
    </row>
    <row r="10" customFormat="false" ht="15" hidden="false" customHeight="false" outlineLevel="0" collapsed="false">
      <c r="A10" s="4" t="s">
        <v>162</v>
      </c>
      <c r="C10" s="6" t="n">
        <f aca="false">Drivers!$B$35*(1+Drivers!$B$36)^(C$4-2026)</f>
        <v>153.75</v>
      </c>
      <c r="D10" s="6" t="n">
        <f aca="false">Drivers!$B$35*(1+Drivers!$B$36)^(D$4-2026)</f>
        <v>157.59375</v>
      </c>
      <c r="E10" s="6" t="n">
        <f aca="false">Drivers!$B$35*(1+Drivers!$B$36)^(E$4-2026)</f>
        <v>161.53359375</v>
      </c>
      <c r="F10" s="6" t="n">
        <f aca="false">Drivers!$B$35*(1+Drivers!$B$36)^(F$4-2026)</f>
        <v>165.57193359375</v>
      </c>
      <c r="G10" s="6" t="n">
        <f aca="false">Drivers!$B$35*(1+Drivers!$B$36)^(G$4-2026)</f>
        <v>169.711231933594</v>
      </c>
      <c r="H10" s="6" t="n">
        <f aca="false">Drivers!$B$35*(1+Drivers!$B$36)^(H$4-2026)</f>
        <v>173.954012731934</v>
      </c>
      <c r="I10" s="6" t="n">
        <f aca="false">Drivers!$B$35*(1+Drivers!$B$36)^(I$4-2026)</f>
        <v>178.302863050232</v>
      </c>
      <c r="J10" s="6" t="n">
        <f aca="false">Drivers!$B$35*(1+Drivers!$B$36)^(J$4-2026)</f>
        <v>182.760434626488</v>
      </c>
      <c r="K10" s="6" t="n">
        <f aca="false">Drivers!$B$35*(1+Drivers!$B$36)^(K$4-2026)</f>
        <v>187.32944549215</v>
      </c>
    </row>
    <row r="11" customFormat="false" ht="15" hidden="false" customHeight="false" outlineLevel="0" collapsed="false">
      <c r="A11" s="8" t="s">
        <v>163</v>
      </c>
      <c r="C11" s="25" t="n">
        <f aca="false">C9-C10</f>
        <v>924.66</v>
      </c>
      <c r="D11" s="25" t="n">
        <f aca="false">D9-D10</f>
        <v>1144.586325</v>
      </c>
      <c r="E11" s="25" t="n">
        <f aca="false">E9-E10</f>
        <v>1332.9970809</v>
      </c>
      <c r="F11" s="25" t="n">
        <f aca="false">F9-F10</f>
        <v>1413.26559962625</v>
      </c>
      <c r="G11" s="25" t="n">
        <f aca="false">G9-G10</f>
        <v>1456.49142728301</v>
      </c>
      <c r="H11" s="25" t="n">
        <f aca="false">H9-H10</f>
        <v>1492.90371296508</v>
      </c>
      <c r="I11" s="25" t="n">
        <f aca="false">I9-I10</f>
        <v>1530.22630578921</v>
      </c>
      <c r="J11" s="25" t="n">
        <f aca="false">J9-J10</f>
        <v>1568.48196343394</v>
      </c>
      <c r="K11" s="25" t="n">
        <f aca="false">K9-K10</f>
        <v>1607.69401251979</v>
      </c>
    </row>
    <row r="12" customFormat="false" ht="15" hidden="false" customHeight="false" outlineLevel="0" collapsed="false">
      <c r="A12" s="4" t="s">
        <v>164</v>
      </c>
      <c r="C12" s="6" t="n">
        <f aca="false">Drivers!B$55</f>
        <v>775</v>
      </c>
      <c r="D12" s="6" t="n">
        <f aca="false">Drivers!B$54*D6</f>
        <v>799.9106175</v>
      </c>
      <c r="E12" s="6" t="n">
        <f aca="false">Drivers!B$54*E6</f>
        <v>823.907936025</v>
      </c>
      <c r="F12" s="6" t="n">
        <f aca="false">Drivers!B$54*F6</f>
        <v>848.62517410575</v>
      </c>
      <c r="G12" s="6" t="n">
        <f aca="false">Drivers!B$54*G6</f>
        <v>874.083929328922</v>
      </c>
      <c r="H12" s="6" t="n">
        <f aca="false">Drivers!B$54*H6</f>
        <v>895.936027562146</v>
      </c>
      <c r="I12" s="6" t="n">
        <f aca="false">Drivers!B$54*I6</f>
        <v>918.334428251199</v>
      </c>
      <c r="J12" s="6" t="n">
        <f aca="false">Drivers!B$54*J6</f>
        <v>941.292788957479</v>
      </c>
      <c r="K12" s="6" t="n">
        <f aca="false">Drivers!B$54*K6</f>
        <v>964.825108681416</v>
      </c>
    </row>
    <row r="13" customFormat="false" ht="15" hidden="false" customHeight="false" outlineLevel="0" collapsed="false">
      <c r="A13" s="4" t="s">
        <v>165</v>
      </c>
      <c r="C13" s="6" t="n">
        <f aca="false">Drivers!$B$43</f>
        <v>900</v>
      </c>
      <c r="D13" s="25" t="n">
        <f aca="false">0.5*C13+0.5*D12</f>
        <v>849.95530875</v>
      </c>
      <c r="E13" s="25" t="n">
        <f aca="false">0.5*D13+0.5*E12</f>
        <v>836.9316223875</v>
      </c>
      <c r="F13" s="25" t="n">
        <f aca="false">0.5*E13+0.5*F12</f>
        <v>842.778398246625</v>
      </c>
      <c r="G13" s="25" t="n">
        <f aca="false">0.5*F13+0.5*G12</f>
        <v>858.431163787774</v>
      </c>
      <c r="H13" s="25" t="n">
        <f aca="false">0.5*G13+0.5*H12</f>
        <v>877.18359567496</v>
      </c>
      <c r="I13" s="25" t="n">
        <f aca="false">0.5*H13+0.5*I12</f>
        <v>897.759011963079</v>
      </c>
      <c r="J13" s="25" t="n">
        <f aca="false">0.5*I13+0.5*J12</f>
        <v>919.525900460279</v>
      </c>
      <c r="K13" s="25" t="n">
        <f aca="false">0.5*J13+0.5*K12</f>
        <v>942.175504570847</v>
      </c>
    </row>
    <row r="14" customFormat="false" ht="15" hidden="false" customHeight="false" outlineLevel="0" collapsed="false">
      <c r="A14" s="4" t="s">
        <v>166</v>
      </c>
      <c r="C14" s="6" t="n">
        <f aca="false">Drivers!$B$37*(C6-B6)</f>
        <v>60.2025</v>
      </c>
      <c r="D14" s="6" t="n">
        <f aca="false">Drivers!$B$37*(D6-C6)</f>
        <v>72.3433374999998</v>
      </c>
      <c r="E14" s="6" t="n">
        <f aca="false">Drivers!$B$37*(E6-D6)</f>
        <v>64.1788751250003</v>
      </c>
      <c r="F14" s="6" t="n">
        <f aca="false">Drivers!$B$37*(F6-E6)</f>
        <v>66.10424137875</v>
      </c>
      <c r="G14" s="6" t="n">
        <f aca="false">Drivers!$B$37*(G6-F6)</f>
        <v>68.0873686201125</v>
      </c>
      <c r="H14" s="6" t="n">
        <f aca="false">Drivers!$B$37*(H6-G6)</f>
        <v>58.4416580655963</v>
      </c>
      <c r="I14" s="6" t="n">
        <f aca="false">Drivers!$B$37*(I6-H6)</f>
        <v>59.9026995172363</v>
      </c>
      <c r="J14" s="6" t="n">
        <f aca="false">Drivers!$B$37*(J6-I6)</f>
        <v>61.4002670051673</v>
      </c>
      <c r="K14" s="6" t="n">
        <f aca="false">Drivers!$B$37*(K6-J6)</f>
        <v>62.9352736802962</v>
      </c>
    </row>
    <row r="15" customFormat="false" ht="15" hidden="false" customHeight="false" outlineLevel="0" collapsed="false">
      <c r="A15" s="4" t="s">
        <v>167</v>
      </c>
      <c r="C15" s="6" t="n">
        <f aca="false">Drivers!B$56</f>
        <v>230</v>
      </c>
      <c r="D15" s="6" t="n">
        <f aca="false">Drivers!B$57</f>
        <v>110</v>
      </c>
      <c r="E15" s="6" t="n">
        <f aca="false">Drivers!B$58</f>
        <v>75</v>
      </c>
      <c r="F15" s="6" t="n">
        <f aca="false">Drivers!B$58</f>
        <v>75</v>
      </c>
      <c r="G15" s="6" t="n">
        <f aca="false">Drivers!B$58</f>
        <v>75</v>
      </c>
      <c r="H15" s="6" t="n">
        <f aca="false">Drivers!B$58</f>
        <v>75</v>
      </c>
      <c r="I15" s="6" t="n">
        <f aca="false">Drivers!B$58</f>
        <v>75</v>
      </c>
      <c r="J15" s="6" t="n">
        <f aca="false">Drivers!B$58</f>
        <v>75</v>
      </c>
      <c r="K15" s="6" t="n">
        <f aca="false">Drivers!B$58</f>
        <v>75</v>
      </c>
    </row>
    <row r="16" customFormat="false" ht="15" hidden="false" customHeight="false" outlineLevel="0" collapsed="false">
      <c r="A16" s="4" t="s">
        <v>168</v>
      </c>
      <c r="C16" s="6" t="n">
        <f aca="false">Drivers!$B$38</f>
        <v>35</v>
      </c>
      <c r="D16" s="6" t="n">
        <f aca="false">Drivers!$B$38</f>
        <v>35</v>
      </c>
      <c r="E16" s="6" t="n">
        <f aca="false">Drivers!$B$38</f>
        <v>35</v>
      </c>
      <c r="F16" s="6" t="n">
        <f aca="false">Drivers!$B$38</f>
        <v>35</v>
      </c>
      <c r="G16" s="6" t="n">
        <f aca="false">Drivers!$B$38</f>
        <v>35</v>
      </c>
      <c r="H16" s="6" t="n">
        <f aca="false">Drivers!$B$38</f>
        <v>35</v>
      </c>
      <c r="I16" s="6" t="n">
        <f aca="false">Drivers!$B$38</f>
        <v>35</v>
      </c>
      <c r="J16" s="6" t="n">
        <f aca="false">Drivers!$B$38</f>
        <v>35</v>
      </c>
      <c r="K16" s="6" t="n">
        <f aca="false">Drivers!$B$38</f>
        <v>35</v>
      </c>
    </row>
    <row r="17" customFormat="false" ht="15" hidden="false" customHeight="false" outlineLevel="0" collapsed="false">
      <c r="A17" s="4" t="s">
        <v>169</v>
      </c>
      <c r="C17" s="6" t="n">
        <f aca="false">Drivers!C$48</f>
        <v>55</v>
      </c>
      <c r="D17" s="6" t="n">
        <f aca="false">Drivers!D$48</f>
        <v>55</v>
      </c>
      <c r="E17" s="6" t="n">
        <f aca="false">Drivers!E$48</f>
        <v>55</v>
      </c>
      <c r="F17" s="6" t="n">
        <f aca="false">Drivers!F$48</f>
        <v>55</v>
      </c>
      <c r="G17" s="6" t="n">
        <f aca="false">Drivers!G$48</f>
        <v>40</v>
      </c>
      <c r="H17" s="6" t="n">
        <f aca="false">Drivers!H$48</f>
        <v>0</v>
      </c>
      <c r="I17" s="6" t="n">
        <f aca="false">Drivers!I$48</f>
        <v>0</v>
      </c>
      <c r="J17" s="6" t="n">
        <f aca="false">Drivers!J$48</f>
        <v>0</v>
      </c>
      <c r="K17" s="6" t="n">
        <f aca="false">Drivers!K$48</f>
        <v>0</v>
      </c>
    </row>
    <row r="18" customFormat="false" ht="15" hidden="false" customHeight="false" outlineLevel="0" collapsed="false">
      <c r="A18" s="4" t="s">
        <v>170</v>
      </c>
      <c r="C18" s="25" t="n">
        <f aca="false">C11-C15-C16</f>
        <v>659.66</v>
      </c>
      <c r="D18" s="25" t="n">
        <f aca="false">D11-D15-D16</f>
        <v>999.586325</v>
      </c>
      <c r="E18" s="25" t="n">
        <f aca="false">E11-E15-E16</f>
        <v>1222.9970809</v>
      </c>
      <c r="F18" s="25" t="n">
        <f aca="false">F11-F15-F16</f>
        <v>1303.26559962625</v>
      </c>
      <c r="G18" s="25" t="n">
        <f aca="false">G11-G15-G16</f>
        <v>1346.49142728301</v>
      </c>
      <c r="H18" s="25" t="n">
        <f aca="false">H11-H15-H16</f>
        <v>1382.90371296508</v>
      </c>
      <c r="I18" s="25" t="n">
        <f aca="false">I11-I15-I16</f>
        <v>1420.22630578921</v>
      </c>
      <c r="J18" s="25" t="n">
        <f aca="false">J11-J15-J16</f>
        <v>1458.48196343394</v>
      </c>
      <c r="K18" s="25" t="n">
        <f aca="false">K11-K15-K16</f>
        <v>1497.69401251979</v>
      </c>
    </row>
    <row r="19" customFormat="false" ht="15" hidden="false" customHeight="false" outlineLevel="0" collapsed="false">
      <c r="A19" s="4" t="s">
        <v>171</v>
      </c>
      <c r="C19" s="6" t="n">
        <f aca="false">Drivers!$B$39*(1+Drivers!$B$40)^(C$4-2026)</f>
        <v>153.75</v>
      </c>
      <c r="D19" s="6" t="n">
        <f aca="false">Drivers!$B$39*(1+Drivers!$B$40)^(D$4-2026)</f>
        <v>157.59375</v>
      </c>
      <c r="E19" s="6" t="n">
        <f aca="false">Drivers!$B$39*(1+Drivers!$B$40)^(E$4-2026)</f>
        <v>161.53359375</v>
      </c>
      <c r="F19" s="6" t="n">
        <f aca="false">Drivers!$B$39*(1+Drivers!$B$40)^(F$4-2026)</f>
        <v>165.57193359375</v>
      </c>
      <c r="G19" s="6" t="n">
        <f aca="false">Drivers!$B$39*(1+Drivers!$B$40)^(G$4-2026)</f>
        <v>169.711231933594</v>
      </c>
      <c r="H19" s="6" t="n">
        <f aca="false">Drivers!$B$39*(1+Drivers!$B$40)^(H$4-2026)</f>
        <v>173.954012731934</v>
      </c>
      <c r="I19" s="6" t="n">
        <f aca="false">Drivers!$B$39*(1+Drivers!$B$40)^(I$4-2026)</f>
        <v>178.302863050232</v>
      </c>
      <c r="J19" s="6" t="n">
        <f aca="false">Drivers!$B$39*(1+Drivers!$B$40)^(J$4-2026)</f>
        <v>182.760434626488</v>
      </c>
      <c r="K19" s="6" t="n">
        <f aca="false">Drivers!$B$39*(1+Drivers!$B$40)^(K$4-2026)</f>
        <v>187.32944549215</v>
      </c>
    </row>
    <row r="20" customFormat="false" ht="15" hidden="false" customHeight="false" outlineLevel="0" collapsed="false">
      <c r="A20" s="4" t="s">
        <v>172</v>
      </c>
      <c r="C20" s="5" t="n">
        <f aca="false">IF(C$4&lt;=2032,Drivers!$B$41,Drivers!$B$42)</f>
        <v>0.2</v>
      </c>
      <c r="D20" s="5" t="n">
        <f aca="false">IF(D$4&lt;=2032,Drivers!$B$41,Drivers!$B$42)</f>
        <v>0.2</v>
      </c>
      <c r="E20" s="5" t="n">
        <f aca="false">IF(E$4&lt;=2032,Drivers!$B$41,Drivers!$B$42)</f>
        <v>0.2</v>
      </c>
      <c r="F20" s="5" t="n">
        <f aca="false">IF(F$4&lt;=2032,Drivers!$B$41,Drivers!$B$42)</f>
        <v>0.2</v>
      </c>
      <c r="G20" s="5" t="n">
        <f aca="false">IF(G$4&lt;=2032,Drivers!$B$41,Drivers!$B$42)</f>
        <v>0.2</v>
      </c>
      <c r="H20" s="5" t="n">
        <f aca="false">IF(H$4&lt;=2032,Drivers!$B$41,Drivers!$B$42)</f>
        <v>0.2</v>
      </c>
      <c r="I20" s="5" t="n">
        <f aca="false">IF(I$4&lt;=2032,Drivers!$B$41,Drivers!$B$42)</f>
        <v>0.24</v>
      </c>
      <c r="J20" s="5" t="n">
        <f aca="false">IF(J$4&lt;=2032,Drivers!$B$41,Drivers!$B$42)</f>
        <v>0.24</v>
      </c>
      <c r="K20" s="5" t="n">
        <f aca="false">IF(K$4&lt;=2032,Drivers!$B$41,Drivers!$B$42)</f>
        <v>0.24</v>
      </c>
    </row>
    <row r="21" customFormat="false" ht="15" hidden="false" customHeight="false" outlineLevel="0" collapsed="false">
      <c r="A21" s="4" t="s">
        <v>173</v>
      </c>
      <c r="C21" s="25" t="n">
        <f aca="false">MAX(C19,C20*C18)</f>
        <v>153.75</v>
      </c>
      <c r="D21" s="25" t="n">
        <f aca="false">MAX(D19,D20*D18)</f>
        <v>199.917265</v>
      </c>
      <c r="E21" s="25" t="n">
        <f aca="false">MAX(E19,E20*E18)</f>
        <v>244.59941618</v>
      </c>
      <c r="F21" s="25" t="n">
        <f aca="false">MAX(F19,F20*F18)</f>
        <v>260.65311992525</v>
      </c>
      <c r="G21" s="25" t="n">
        <f aca="false">MAX(G19,G20*G18)</f>
        <v>269.298285456601</v>
      </c>
      <c r="H21" s="25" t="n">
        <f aca="false">MAX(H19,H20*H18)</f>
        <v>276.580742593016</v>
      </c>
      <c r="I21" s="25" t="n">
        <f aca="false">MAX(I19,I20*I18)</f>
        <v>340.85431338941</v>
      </c>
      <c r="J21" s="25" t="n">
        <f aca="false">MAX(J19,J20*J18)</f>
        <v>350.035671224145</v>
      </c>
      <c r="K21" s="25" t="n">
        <f aca="false">MAX(K19,K20*K18)</f>
        <v>359.446563004749</v>
      </c>
    </row>
    <row r="22" customFormat="false" ht="15" hidden="false" customHeight="false" outlineLevel="0" collapsed="false">
      <c r="A22" s="8" t="s">
        <v>174</v>
      </c>
      <c r="B22" s="6" t="n">
        <f aca="false">Drivers!B$53</f>
        <v>962</v>
      </c>
      <c r="C22" s="25" t="n">
        <f aca="false">C11-C21+C13-C12-C14-C15-C16-C17</f>
        <v>515.7075</v>
      </c>
      <c r="D22" s="25" t="n">
        <f aca="false">D11-D21+D13-D12-D14-D15-D16-D17</f>
        <v>722.37041375</v>
      </c>
      <c r="E22" s="25" t="n">
        <f aca="false">E11-E21+E13-E12-E14-E15-E16-E17</f>
        <v>872.2424759575</v>
      </c>
      <c r="F22" s="25" t="n">
        <f aca="false">F11-F21+F13-F12-F14-F15-F16-F17</f>
        <v>915.661462463125</v>
      </c>
      <c r="G22" s="25" t="n">
        <f aca="false">G11-G21+G13-G12-G14-G15-G16-G17</f>
        <v>953.453007665144</v>
      </c>
      <c r="H22" s="25" t="n">
        <f aca="false">H11-H21+H13-H12-H14-H15-H16-H17</f>
        <v>1029.12888041928</v>
      </c>
      <c r="I22" s="25" t="n">
        <f aca="false">I11-I21+I13-I12-I14-I15-I16-I17</f>
        <v>998.893876594442</v>
      </c>
      <c r="J22" s="25" t="n">
        <f aca="false">J11-J21+J13-J12-J14-J15-J16-J17</f>
        <v>1025.27913670743</v>
      </c>
      <c r="K22" s="25" t="n">
        <f aca="false">K11-K21+K13-K12-K14-K15-K16-K17</f>
        <v>1052.66257172417</v>
      </c>
    </row>
    <row r="23" customFormat="false" ht="15" hidden="false" customHeight="false" outlineLevel="0" collapsed="false">
      <c r="A23" s="4" t="s">
        <v>175</v>
      </c>
      <c r="B23" s="32" t="n">
        <f aca="false">1/(1+Drivers!$B$21)^B5</f>
        <v>0.978125629185679</v>
      </c>
      <c r="C23" s="32" t="n">
        <f aca="false">1/(1+Drivers!$B$21)^C5</f>
        <v>0.91533180778032</v>
      </c>
      <c r="D23" s="32" t="n">
        <f aca="false">1/(1+Drivers!$B$21)^D5</f>
        <v>0.837832318334389</v>
      </c>
      <c r="E23" s="32" t="n">
        <f aca="false">1/(1+Drivers!$B$21)^E5</f>
        <v>0.766894570557793</v>
      </c>
      <c r="F23" s="32" t="n">
        <f aca="false">1/(1+Drivers!$B$21)^F5</f>
        <v>0.701962993645578</v>
      </c>
      <c r="G23" s="32" t="n">
        <f aca="false">1/(1+Drivers!$B$21)^G5</f>
        <v>0.642529055968492</v>
      </c>
      <c r="H23" s="32" t="n">
        <f aca="false">1/(1+Drivers!$B$21)^H5</f>
        <v>0.588127282351022</v>
      </c>
      <c r="I23" s="32" t="n">
        <f aca="false">1/(1+Drivers!$B$21)^I5</f>
        <v>0.538331608559288</v>
      </c>
      <c r="J23" s="32" t="n">
        <f aca="false">1/(1+Drivers!$B$21)^J5</f>
        <v>0.492752044447861</v>
      </c>
      <c r="K23" s="32" t="n">
        <f aca="false">1/(1+Drivers!$B$21)^K5</f>
        <v>0.451031619631909</v>
      </c>
    </row>
    <row r="24" customFormat="false" ht="15" hidden="false" customHeight="false" outlineLevel="0" collapsed="false">
      <c r="A24" s="4" t="s">
        <v>176</v>
      </c>
      <c r="B24" s="25" t="n">
        <f aca="false">B22*B23</f>
        <v>940.956855276623</v>
      </c>
      <c r="C24" s="25" t="n">
        <f aca="false">C22*C23</f>
        <v>472.043478260869</v>
      </c>
      <c r="D24" s="25" t="n">
        <f aca="false">D22*D23</f>
        <v>605.225278448335</v>
      </c>
      <c r="E24" s="25" t="n">
        <f aca="false">E22*E23</f>
        <v>668.918019021693</v>
      </c>
      <c r="F24" s="25" t="n">
        <f aca="false">F22*F23</f>
        <v>642.760461356503</v>
      </c>
      <c r="G24" s="25" t="n">
        <f aca="false">G22*G23</f>
        <v>612.621260925404</v>
      </c>
      <c r="H24" s="25" t="n">
        <f aca="false">H22*H23</f>
        <v>605.258771629943</v>
      </c>
      <c r="I24" s="25" t="n">
        <f aca="false">I22*I23</f>
        <v>537.736147367109</v>
      </c>
      <c r="J24" s="25" t="n">
        <f aca="false">J22*J23</f>
        <v>505.208390742322</v>
      </c>
      <c r="K24" s="25" t="n">
        <f aca="false">K22*K23</f>
        <v>474.784104650645</v>
      </c>
    </row>
    <row r="25" customFormat="false" ht="15" hidden="false" customHeight="false" outlineLevel="0" collapsed="false">
      <c r="A25" s="4" t="s">
        <v>177</v>
      </c>
      <c r="C25" s="25" t="n">
        <f aca="false">C11+C13</f>
        <v>1824.66</v>
      </c>
      <c r="D25" s="25" t="n">
        <f aca="false">D11+D13</f>
        <v>1994.54163375</v>
      </c>
      <c r="E25" s="25" t="n">
        <f aca="false">E11+E13</f>
        <v>2169.9287032875</v>
      </c>
      <c r="F25" s="25" t="n">
        <f aca="false">F11+F13</f>
        <v>2256.04399787288</v>
      </c>
      <c r="G25" s="25" t="n">
        <f aca="false">G11+G13</f>
        <v>2314.92259107078</v>
      </c>
      <c r="H25" s="25" t="n">
        <f aca="false">H11+H13</f>
        <v>2370.08730864004</v>
      </c>
      <c r="I25" s="25" t="n">
        <f aca="false">I11+I13</f>
        <v>2427.98531775229</v>
      </c>
      <c r="J25" s="25" t="n">
        <f aca="false">J11+J13</f>
        <v>2488.00786389422</v>
      </c>
      <c r="K25" s="25" t="n">
        <f aca="false">K11+K13</f>
        <v>2549.86951709063</v>
      </c>
    </row>
    <row r="28" customFormat="false" ht="15" hidden="false" customHeight="false" outlineLevel="0" collapsed="false">
      <c r="A28" s="8" t="s">
        <v>178</v>
      </c>
    </row>
    <row r="29" customFormat="false" ht="15" hidden="false" customHeight="false" outlineLevel="0" collapsed="false">
      <c r="A29" s="4" t="s">
        <v>179</v>
      </c>
      <c r="B29" s="5" t="n">
        <f aca="false">Drivers!B$59</f>
        <v>0.02</v>
      </c>
    </row>
    <row r="30" customFormat="false" ht="15" hidden="false" customHeight="false" outlineLevel="0" collapsed="false">
      <c r="A30" s="4" t="s">
        <v>180</v>
      </c>
      <c r="B30" s="5" t="n">
        <f aca="false">Drivers!B$60</f>
        <v>0.11</v>
      </c>
    </row>
    <row r="31" customFormat="false" ht="15" hidden="false" customHeight="false" outlineLevel="0" collapsed="false">
      <c r="A31" s="4" t="s">
        <v>181</v>
      </c>
      <c r="B31" s="25" t="n">
        <f aca="false">K6*(1+B29)</f>
        <v>22886.5490896522</v>
      </c>
    </row>
    <row r="32" customFormat="false" ht="15" hidden="false" customHeight="false" outlineLevel="0" collapsed="false">
      <c r="A32" s="4" t="s">
        <v>182</v>
      </c>
      <c r="B32" s="6" t="n">
        <f aca="false">Drivers!$B$35*(1+Drivers!$B$36)^(2036-2026)</f>
        <v>192.012681629454</v>
      </c>
    </row>
    <row r="33" customFormat="false" ht="15" hidden="false" customHeight="false" outlineLevel="0" collapsed="false">
      <c r="A33" s="4" t="s">
        <v>183</v>
      </c>
      <c r="B33" s="25" t="n">
        <f aca="false">B31*K8-B32</f>
        <v>1638.91124554272</v>
      </c>
    </row>
    <row r="34" customFormat="false" ht="15" hidden="false" customHeight="false" outlineLevel="0" collapsed="false">
      <c r="A34" s="4" t="s">
        <v>184</v>
      </c>
      <c r="B34" s="6" t="n">
        <f aca="false">(B33-Drivers!B$58-Drivers!$B$38)*(1-Drivers!$B$42)</f>
        <v>1161.97254661247</v>
      </c>
    </row>
    <row r="35" customFormat="false" ht="15" hidden="false" customHeight="false" outlineLevel="0" collapsed="false">
      <c r="A35" s="4" t="s">
        <v>185</v>
      </c>
      <c r="B35" s="6" t="n">
        <f aca="false">B34*(1-B29/B30)/(Drivers!$B$21-B29)</f>
        <v>13113.169805031</v>
      </c>
    </row>
    <row r="36" customFormat="false" ht="15" hidden="false" customHeight="false" outlineLevel="0" collapsed="false">
      <c r="A36" s="4" t="s">
        <v>186</v>
      </c>
      <c r="B36" s="6" t="n">
        <f aca="false">B35/(1+Drivers!$B$21)^9.5</f>
        <v>5658.53428226699</v>
      </c>
    </row>
    <row r="38" customFormat="false" ht="15" hidden="false" customHeight="false" outlineLevel="0" collapsed="false">
      <c r="A38" s="8" t="s">
        <v>187</v>
      </c>
    </row>
    <row r="39" customFormat="false" ht="15" hidden="false" customHeight="false" outlineLevel="0" collapsed="false">
      <c r="A39" s="4" t="s">
        <v>188</v>
      </c>
      <c r="B39" s="25" t="n">
        <f aca="false">SUM(B24:K24)</f>
        <v>6065.51276767945</v>
      </c>
    </row>
    <row r="40" customFormat="false" ht="15" hidden="false" customHeight="false" outlineLevel="0" collapsed="false">
      <c r="A40" s="8" t="s">
        <v>189</v>
      </c>
      <c r="B40" s="25" t="n">
        <f aca="false">B39+B36</f>
        <v>11724.0470499464</v>
      </c>
    </row>
    <row r="41" customFormat="false" ht="15" hidden="false" customHeight="false" outlineLevel="0" collapsed="false">
      <c r="A41" s="4" t="s">
        <v>190</v>
      </c>
      <c r="B41" s="9" t="n">
        <f aca="false">B36/B40</f>
        <v>0.482643430051131</v>
      </c>
    </row>
    <row r="42" customFormat="false" ht="15" hidden="false" customHeight="false" outlineLevel="0" collapsed="false">
      <c r="A42" s="4" t="s">
        <v>191</v>
      </c>
      <c r="B42" s="6" t="n">
        <f aca="false">Drivers!$B$31</f>
        <v>6910</v>
      </c>
    </row>
    <row r="43" customFormat="false" ht="15" hidden="false" customHeight="false" outlineLevel="0" collapsed="false">
      <c r="A43" s="4" t="s">
        <v>192</v>
      </c>
      <c r="B43" s="25" t="n">
        <f aca="false">B40-B42</f>
        <v>4814.04704994644</v>
      </c>
    </row>
    <row r="44" customFormat="false" ht="15" hidden="false" customHeight="false" outlineLevel="0" collapsed="false">
      <c r="A44" s="4" t="s">
        <v>193</v>
      </c>
      <c r="B44" s="6" t="n">
        <f aca="false">MAX(B43,0)*Drivers!$B$22</f>
        <v>4943.86288917411</v>
      </c>
    </row>
    <row r="45" customFormat="false" ht="15" hidden="false" customHeight="false" outlineLevel="0" collapsed="false">
      <c r="A45" s="8" t="s">
        <v>56</v>
      </c>
      <c r="B45" s="33" t="n">
        <f aca="false">B44/Drivers!$B$5</f>
        <v>17.0478030661176</v>
      </c>
    </row>
    <row r="46" customFormat="false" ht="15" hidden="false" customHeight="false" outlineLevel="0" collapsed="false">
      <c r="A46" s="4" t="s">
        <v>194</v>
      </c>
      <c r="B46" s="34" t="n">
        <f aca="false">B35/(K25*(1+B29))</f>
        <v>5.0418457659474</v>
      </c>
    </row>
    <row r="48" customFormat="false" ht="15" hidden="false" customHeight="false" outlineLevel="0" collapsed="false">
      <c r="A48" s="8" t="s">
        <v>195</v>
      </c>
    </row>
    <row r="49" customFormat="false" ht="15" hidden="false" customHeight="false" outlineLevel="0" collapsed="false">
      <c r="A49" s="4" t="s">
        <v>196</v>
      </c>
      <c r="B49" s="6" t="n">
        <f aca="false">Drivers!$B$27-(B22-Drivers!$B$44)</f>
        <v>5592</v>
      </c>
      <c r="C49" s="25" t="n">
        <f aca="false">B49-C52</f>
        <v>5482.1385</v>
      </c>
      <c r="D49" s="25" t="n">
        <f aca="false">C49-D52</f>
        <v>5158.69281175</v>
      </c>
      <c r="E49" s="25" t="n">
        <f aca="false">D49-E52</f>
        <v>4664.99798293275</v>
      </c>
      <c r="F49" s="25" t="n">
        <f aca="false">E49-F52</f>
        <v>4096.78139339439</v>
      </c>
      <c r="G49" s="25" t="n">
        <f aca="false">F49-G52</f>
        <v>3454.97561351309</v>
      </c>
      <c r="H49" s="25" t="n">
        <f aca="false">G49-H52</f>
        <v>2697.06019674513</v>
      </c>
      <c r="I49" s="25" t="n">
        <f aca="false">H49-I52</f>
        <v>1921.63111254563</v>
      </c>
      <c r="J49" s="25" t="n">
        <f aca="false">I49-J52</f>
        <v>1070.96473592858</v>
      </c>
      <c r="K49" s="25" t="n">
        <f aca="false">J49-K52</f>
        <v>139.322942567911</v>
      </c>
    </row>
    <row r="50" customFormat="false" ht="15" hidden="false" customHeight="false" outlineLevel="0" collapsed="false">
      <c r="A50" s="4" t="s">
        <v>197</v>
      </c>
      <c r="C50" s="25" t="n">
        <f aca="false">0.063*(B49+850)</f>
        <v>405.846</v>
      </c>
      <c r="D50" s="25" t="n">
        <f aca="false">0.063*(C49+850)</f>
        <v>398.9247255</v>
      </c>
      <c r="E50" s="25" t="n">
        <f aca="false">0.063*(D49+850)</f>
        <v>378.54764714025</v>
      </c>
      <c r="F50" s="25" t="n">
        <f aca="false">0.063*(E49+850)</f>
        <v>347.444872924763</v>
      </c>
      <c r="G50" s="25" t="n">
        <f aca="false">0.063*(F49+850)</f>
        <v>311.647227783847</v>
      </c>
      <c r="H50" s="25" t="n">
        <f aca="false">0.063*(G49+850)</f>
        <v>271.213463651325</v>
      </c>
      <c r="I50" s="25" t="n">
        <f aca="false">0.063*(H49+850)</f>
        <v>223.464792394943</v>
      </c>
      <c r="J50" s="25" t="n">
        <f aca="false">0.063*(I49+850)</f>
        <v>174.612760090375</v>
      </c>
      <c r="K50" s="25" t="n">
        <f aca="false">0.063*(J49+850)</f>
        <v>121.020778363501</v>
      </c>
    </row>
    <row r="51" customFormat="false" ht="15" hidden="false" customHeight="false" outlineLevel="0" collapsed="false">
      <c r="A51" s="4" t="s">
        <v>198</v>
      </c>
      <c r="C51" s="34" t="n">
        <f aca="false">IF(C25&gt;0,C49/C25,99)</f>
        <v>3.00447124395778</v>
      </c>
      <c r="D51" s="34" t="n">
        <f aca="false">IF(D25&gt;0,D49/D25,99)</f>
        <v>2.58640517924461</v>
      </c>
      <c r="E51" s="34" t="n">
        <f aca="false">IF(E25&gt;0,E49/E25,99)</f>
        <v>2.14983929004909</v>
      </c>
      <c r="F51" s="34" t="n">
        <f aca="false">IF(F25&gt;0,F49/F25,99)</f>
        <v>1.81591378415362</v>
      </c>
      <c r="G51" s="34" t="n">
        <f aca="false">IF(G25&gt;0,G49/G25,99)</f>
        <v>1.49247997615116</v>
      </c>
      <c r="H51" s="34" t="n">
        <f aca="false">IF(H25&gt;0,H49/H25,99)</f>
        <v>1.13795816167326</v>
      </c>
      <c r="I51" s="34" t="n">
        <f aca="false">IF(I25&gt;0,I49/I25,99)</f>
        <v>0.791450878428124</v>
      </c>
      <c r="J51" s="34" t="n">
        <f aca="false">IF(J25&gt;0,J49/J25,99)</f>
        <v>0.430450703741874</v>
      </c>
      <c r="K51" s="34" t="n">
        <f aca="false">IF(K25&gt;0,K49/K25,99)</f>
        <v>0.0546392439433045</v>
      </c>
    </row>
    <row r="52" customFormat="false" ht="15" hidden="false" customHeight="false" outlineLevel="0" collapsed="false">
      <c r="A52" s="4" t="s">
        <v>199</v>
      </c>
      <c r="C52" s="25" t="n">
        <f aca="false">C22-C50</f>
        <v>109.8615</v>
      </c>
      <c r="D52" s="25" t="n">
        <f aca="false">D22-D50</f>
        <v>323.44568825</v>
      </c>
      <c r="E52" s="25" t="n">
        <f aca="false">E22-E50</f>
        <v>493.69482881725</v>
      </c>
      <c r="F52" s="25" t="n">
        <f aca="false">F22-F50</f>
        <v>568.216589538362</v>
      </c>
      <c r="G52" s="25" t="n">
        <f aca="false">G22-G50</f>
        <v>641.805779881297</v>
      </c>
      <c r="H52" s="25" t="n">
        <f aca="false">H22-H50</f>
        <v>757.915416767958</v>
      </c>
      <c r="I52" s="25" t="n">
        <f aca="false">I22-I50</f>
        <v>775.429084199499</v>
      </c>
      <c r="J52" s="25" t="n">
        <f aca="false">J22-J50</f>
        <v>850.666376617051</v>
      </c>
      <c r="K52" s="25" t="n">
        <f aca="false">K22-K50</f>
        <v>931.641793360672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5" min="2" style="0" width="13"/>
  </cols>
  <sheetData>
    <row r="1" customFormat="false" ht="16.15" hidden="false" customHeight="false" outlineLevel="0" collapsed="false">
      <c r="A1" s="1" t="s">
        <v>200</v>
      </c>
    </row>
    <row r="3" customFormat="false" ht="15" hidden="false" customHeight="false" outlineLevel="0" collapsed="false">
      <c r="A3" s="3" t="s">
        <v>156</v>
      </c>
      <c r="B3" s="3" t="s">
        <v>157</v>
      </c>
      <c r="C3" s="3" t="s">
        <v>144</v>
      </c>
      <c r="D3" s="3" t="s">
        <v>145</v>
      </c>
      <c r="E3" s="3" t="s">
        <v>146</v>
      </c>
      <c r="F3" s="3" t="s">
        <v>147</v>
      </c>
      <c r="G3" s="3" t="s">
        <v>148</v>
      </c>
      <c r="H3" s="3" t="s">
        <v>149</v>
      </c>
      <c r="I3" s="3" t="s">
        <v>150</v>
      </c>
      <c r="J3" s="3" t="s">
        <v>151</v>
      </c>
      <c r="K3" s="3" t="s">
        <v>152</v>
      </c>
    </row>
    <row r="4" customFormat="false" ht="15" hidden="false" customHeight="false" outlineLevel="0" collapsed="false">
      <c r="A4" s="4" t="s">
        <v>158</v>
      </c>
      <c r="B4" s="30" t="n">
        <v>2026.5</v>
      </c>
      <c r="C4" s="31" t="n">
        <v>2027</v>
      </c>
      <c r="D4" s="31" t="n">
        <v>2028</v>
      </c>
      <c r="E4" s="31" t="n">
        <v>2029</v>
      </c>
      <c r="F4" s="31" t="n">
        <v>2030</v>
      </c>
      <c r="G4" s="31" t="n">
        <v>2031</v>
      </c>
      <c r="H4" s="31" t="n">
        <v>2032</v>
      </c>
      <c r="I4" s="31" t="n">
        <v>2033</v>
      </c>
      <c r="J4" s="31" t="n">
        <v>2034</v>
      </c>
      <c r="K4" s="31" t="n">
        <v>2035</v>
      </c>
    </row>
    <row r="5" customFormat="false" ht="15" hidden="false" customHeight="false" outlineLevel="0" collapsed="false">
      <c r="A5" s="4" t="s">
        <v>159</v>
      </c>
      <c r="B5" s="19" t="n">
        <v>0.25</v>
      </c>
      <c r="C5" s="21" t="n">
        <f aca="false">C4-2026</f>
        <v>1</v>
      </c>
      <c r="D5" s="21" t="n">
        <f aca="false">D4-2026</f>
        <v>2</v>
      </c>
      <c r="E5" s="21" t="n">
        <f aca="false">E4-2026</f>
        <v>3</v>
      </c>
      <c r="F5" s="21" t="n">
        <f aca="false">F4-2026</f>
        <v>4</v>
      </c>
      <c r="G5" s="21" t="n">
        <f aca="false">G4-2026</f>
        <v>5</v>
      </c>
      <c r="H5" s="21" t="n">
        <f aca="false">H4-2026</f>
        <v>6</v>
      </c>
      <c r="I5" s="21" t="n">
        <f aca="false">I4-2026</f>
        <v>7</v>
      </c>
      <c r="J5" s="21" t="n">
        <f aca="false">J4-2026</f>
        <v>8</v>
      </c>
      <c r="K5" s="21" t="n">
        <f aca="false">K4-2026</f>
        <v>9</v>
      </c>
    </row>
    <row r="6" customFormat="false" ht="15" hidden="false" customHeight="false" outlineLevel="0" collapsed="false">
      <c r="A6" s="4" t="s">
        <v>160</v>
      </c>
      <c r="B6" s="6" t="n">
        <f aca="false">Drivers!$B$34</f>
        <v>17450</v>
      </c>
      <c r="C6" s="25" t="n">
        <f aca="false">B6*(1+C7)</f>
        <v>17799</v>
      </c>
      <c r="D6" s="25" t="n">
        <f aca="false">C6*(1+D7)</f>
        <v>18243.975</v>
      </c>
      <c r="E6" s="25" t="n">
        <f aca="false">D6*(1+E7)</f>
        <v>18700.074375</v>
      </c>
      <c r="F6" s="25" t="n">
        <f aca="false">E6*(1+F7)</f>
        <v>19167.576234375</v>
      </c>
      <c r="G6" s="25" t="n">
        <f aca="false">F6*(1+G7)</f>
        <v>19646.7656402344</v>
      </c>
      <c r="H6" s="25" t="n">
        <f aca="false">G6*(1+H7)</f>
        <v>20039.7009530391</v>
      </c>
      <c r="I6" s="25" t="n">
        <f aca="false">H6*(1+I7)</f>
        <v>20440.4949720998</v>
      </c>
      <c r="J6" s="25" t="n">
        <f aca="false">I6*(1+J7)</f>
        <v>20849.3048715418</v>
      </c>
      <c r="K6" s="25" t="n">
        <f aca="false">J6*(1+K7)</f>
        <v>21266.2909689727</v>
      </c>
    </row>
    <row r="7" customFormat="false" ht="15" hidden="false" customHeight="false" outlineLevel="0" collapsed="false">
      <c r="A7" s="4" t="s">
        <v>143</v>
      </c>
      <c r="C7" s="5" t="n">
        <f aca="false">Drivers!C68</f>
        <v>0.02</v>
      </c>
      <c r="D7" s="5" t="n">
        <f aca="false">Drivers!D68</f>
        <v>0.025</v>
      </c>
      <c r="E7" s="5" t="n">
        <f aca="false">Drivers!E68</f>
        <v>0.025</v>
      </c>
      <c r="F7" s="5" t="n">
        <f aca="false">Drivers!F68</f>
        <v>0.025</v>
      </c>
      <c r="G7" s="5" t="n">
        <f aca="false">Drivers!G68</f>
        <v>0.025</v>
      </c>
      <c r="H7" s="5" t="n">
        <f aca="false">Drivers!H68</f>
        <v>0.02</v>
      </c>
      <c r="I7" s="5" t="n">
        <f aca="false">Drivers!I68</f>
        <v>0.02</v>
      </c>
      <c r="J7" s="5" t="n">
        <f aca="false">Drivers!J68</f>
        <v>0.02</v>
      </c>
      <c r="K7" s="5" t="n">
        <f aca="false">Drivers!K68</f>
        <v>0.02</v>
      </c>
    </row>
    <row r="8" customFormat="false" ht="15" hidden="false" customHeight="false" outlineLevel="0" collapsed="false">
      <c r="A8" s="4" t="s">
        <v>153</v>
      </c>
      <c r="C8" s="5" t="n">
        <f aca="false">Drivers!C73</f>
        <v>0.05</v>
      </c>
      <c r="D8" s="5" t="n">
        <f aca="false">Drivers!D73</f>
        <v>0.056</v>
      </c>
      <c r="E8" s="5" t="n">
        <f aca="false">Drivers!E73</f>
        <v>0.059</v>
      </c>
      <c r="F8" s="5" t="n">
        <f aca="false">Drivers!F73</f>
        <v>0.06</v>
      </c>
      <c r="G8" s="5" t="n">
        <f aca="false">Drivers!G73</f>
        <v>0.06</v>
      </c>
      <c r="H8" s="5" t="n">
        <f aca="false">Drivers!H73</f>
        <v>0.06</v>
      </c>
      <c r="I8" s="5" t="n">
        <f aca="false">Drivers!I73</f>
        <v>0.06</v>
      </c>
      <c r="J8" s="5" t="n">
        <f aca="false">Drivers!J73</f>
        <v>0.06</v>
      </c>
      <c r="K8" s="5" t="n">
        <f aca="false">Drivers!K73</f>
        <v>0.06</v>
      </c>
    </row>
    <row r="9" customFormat="false" ht="15" hidden="false" customHeight="false" outlineLevel="0" collapsed="false">
      <c r="A9" s="4" t="s">
        <v>161</v>
      </c>
      <c r="C9" s="25" t="n">
        <f aca="false">C6*C8</f>
        <v>889.95</v>
      </c>
      <c r="D9" s="25" t="n">
        <f aca="false">D6*D8</f>
        <v>1021.6626</v>
      </c>
      <c r="E9" s="25" t="n">
        <f aca="false">E6*E8</f>
        <v>1103.304388125</v>
      </c>
      <c r="F9" s="25" t="n">
        <f aca="false">F6*F8</f>
        <v>1150.0545740625</v>
      </c>
      <c r="G9" s="25" t="n">
        <f aca="false">G6*G8</f>
        <v>1178.80593841406</v>
      </c>
      <c r="H9" s="25" t="n">
        <f aca="false">H6*H8</f>
        <v>1202.38205718234</v>
      </c>
      <c r="I9" s="25" t="n">
        <f aca="false">I6*I8</f>
        <v>1226.42969832599</v>
      </c>
      <c r="J9" s="25" t="n">
        <f aca="false">J6*J8</f>
        <v>1250.95829229251</v>
      </c>
      <c r="K9" s="25" t="n">
        <f aca="false">K6*K8</f>
        <v>1275.97745813836</v>
      </c>
    </row>
    <row r="10" customFormat="false" ht="15" hidden="false" customHeight="false" outlineLevel="0" collapsed="false">
      <c r="A10" s="4" t="s">
        <v>162</v>
      </c>
      <c r="C10" s="6" t="n">
        <f aca="false">Drivers!$B$35*(1+Drivers!$B$36)^(C$4-2026)</f>
        <v>153.75</v>
      </c>
      <c r="D10" s="6" t="n">
        <f aca="false">Drivers!$B$35*(1+Drivers!$B$36)^(D$4-2026)</f>
        <v>157.59375</v>
      </c>
      <c r="E10" s="6" t="n">
        <f aca="false">Drivers!$B$35*(1+Drivers!$B$36)^(E$4-2026)</f>
        <v>161.53359375</v>
      </c>
      <c r="F10" s="6" t="n">
        <f aca="false">Drivers!$B$35*(1+Drivers!$B$36)^(F$4-2026)</f>
        <v>165.57193359375</v>
      </c>
      <c r="G10" s="6" t="n">
        <f aca="false">Drivers!$B$35*(1+Drivers!$B$36)^(G$4-2026)</f>
        <v>169.711231933594</v>
      </c>
      <c r="H10" s="6" t="n">
        <f aca="false">Drivers!$B$35*(1+Drivers!$B$36)^(H$4-2026)</f>
        <v>173.954012731934</v>
      </c>
      <c r="I10" s="6" t="n">
        <f aca="false">Drivers!$B$35*(1+Drivers!$B$36)^(I$4-2026)</f>
        <v>178.302863050232</v>
      </c>
      <c r="J10" s="6" t="n">
        <f aca="false">Drivers!$B$35*(1+Drivers!$B$36)^(J$4-2026)</f>
        <v>182.760434626488</v>
      </c>
      <c r="K10" s="6" t="n">
        <f aca="false">Drivers!$B$35*(1+Drivers!$B$36)^(K$4-2026)</f>
        <v>187.32944549215</v>
      </c>
    </row>
    <row r="11" customFormat="false" ht="15" hidden="false" customHeight="false" outlineLevel="0" collapsed="false">
      <c r="A11" s="8" t="s">
        <v>163</v>
      </c>
      <c r="C11" s="25" t="n">
        <f aca="false">C9-C10</f>
        <v>736.2</v>
      </c>
      <c r="D11" s="25" t="n">
        <f aca="false">D9-D10</f>
        <v>864.06885</v>
      </c>
      <c r="E11" s="25" t="n">
        <f aca="false">E9-E10</f>
        <v>941.770794375</v>
      </c>
      <c r="F11" s="25" t="n">
        <f aca="false">F9-F10</f>
        <v>984.48264046875</v>
      </c>
      <c r="G11" s="25" t="n">
        <f aca="false">G9-G10</f>
        <v>1009.09470648047</v>
      </c>
      <c r="H11" s="25" t="n">
        <f aca="false">H9-H10</f>
        <v>1028.42804445041</v>
      </c>
      <c r="I11" s="25" t="n">
        <f aca="false">I9-I10</f>
        <v>1048.12683527576</v>
      </c>
      <c r="J11" s="25" t="n">
        <f aca="false">J9-J10</f>
        <v>1068.19785766602</v>
      </c>
      <c r="K11" s="25" t="n">
        <f aca="false">K9-K10</f>
        <v>1088.64801264621</v>
      </c>
    </row>
    <row r="12" customFormat="false" ht="15" hidden="false" customHeight="false" outlineLevel="0" collapsed="false">
      <c r="A12" s="4" t="s">
        <v>164</v>
      </c>
      <c r="C12" s="6" t="n">
        <f aca="false">Drivers!C$55</f>
        <v>775</v>
      </c>
      <c r="D12" s="6" t="n">
        <f aca="false">Drivers!C$54*D6</f>
        <v>839.22285</v>
      </c>
      <c r="E12" s="6" t="n">
        <f aca="false">Drivers!C$54*E6</f>
        <v>860.20342125</v>
      </c>
      <c r="F12" s="6" t="n">
        <f aca="false">Drivers!C$54*F6</f>
        <v>881.70850678125</v>
      </c>
      <c r="G12" s="6" t="n">
        <f aca="false">Drivers!C$54*G6</f>
        <v>903.751219450781</v>
      </c>
      <c r="H12" s="6" t="n">
        <f aca="false">Drivers!C$54*H6</f>
        <v>921.826243839797</v>
      </c>
      <c r="I12" s="6" t="n">
        <f aca="false">Drivers!C$54*I6</f>
        <v>940.262768716592</v>
      </c>
      <c r="J12" s="6" t="n">
        <f aca="false">Drivers!C$54*J6</f>
        <v>959.068024090924</v>
      </c>
      <c r="K12" s="6" t="n">
        <f aca="false">Drivers!C$54*K6</f>
        <v>978.249384572743</v>
      </c>
    </row>
    <row r="13" customFormat="false" ht="15" hidden="false" customHeight="false" outlineLevel="0" collapsed="false">
      <c r="A13" s="4" t="s">
        <v>165</v>
      </c>
      <c r="C13" s="6" t="n">
        <f aca="false">Drivers!$B$43</f>
        <v>900</v>
      </c>
      <c r="D13" s="25" t="n">
        <f aca="false">0.5*C13+0.5*D12</f>
        <v>869.611425</v>
      </c>
      <c r="E13" s="25" t="n">
        <f aca="false">0.5*D13+0.5*E12</f>
        <v>864.907423125</v>
      </c>
      <c r="F13" s="25" t="n">
        <f aca="false">0.5*E13+0.5*F12</f>
        <v>873.307964953125</v>
      </c>
      <c r="G13" s="25" t="n">
        <f aca="false">0.5*F13+0.5*G12</f>
        <v>888.529592201953</v>
      </c>
      <c r="H13" s="25" t="n">
        <f aca="false">0.5*G13+0.5*H12</f>
        <v>905.177918020875</v>
      </c>
      <c r="I13" s="25" t="n">
        <f aca="false">0.5*H13+0.5*I12</f>
        <v>922.720343368733</v>
      </c>
      <c r="J13" s="25" t="n">
        <f aca="false">0.5*I13+0.5*J12</f>
        <v>940.894183729829</v>
      </c>
      <c r="K13" s="25" t="n">
        <f aca="false">0.5*J13+0.5*K12</f>
        <v>959.571784151286</v>
      </c>
    </row>
    <row r="14" customFormat="false" ht="15" hidden="false" customHeight="false" outlineLevel="0" collapsed="false">
      <c r="A14" s="4" t="s">
        <v>166</v>
      </c>
      <c r="C14" s="6" t="n">
        <f aca="false">Drivers!$B$37*(C6-B6)</f>
        <v>40.135</v>
      </c>
      <c r="D14" s="6" t="n">
        <f aca="false">Drivers!$B$37*(D6-C6)</f>
        <v>51.1721249999998</v>
      </c>
      <c r="E14" s="6" t="n">
        <f aca="false">Drivers!$B$37*(E6-D6)</f>
        <v>52.4514281249998</v>
      </c>
      <c r="F14" s="6" t="n">
        <f aca="false">Drivers!$B$37*(F6-E6)</f>
        <v>53.7627138281249</v>
      </c>
      <c r="G14" s="6" t="n">
        <f aca="false">Drivers!$B$37*(G6-F6)</f>
        <v>55.1067816738277</v>
      </c>
      <c r="H14" s="6" t="n">
        <f aca="false">Drivers!$B$37*(H6-G6)</f>
        <v>45.1875609725389</v>
      </c>
      <c r="I14" s="6" t="n">
        <f aca="false">Drivers!$B$37*(I6-H6)</f>
        <v>46.0913121919898</v>
      </c>
      <c r="J14" s="6" t="n">
        <f aca="false">Drivers!$B$37*(J6-I6)</f>
        <v>47.0131384358296</v>
      </c>
      <c r="K14" s="6" t="n">
        <f aca="false">Drivers!$B$37*(K6-J6)</f>
        <v>47.9534012045461</v>
      </c>
    </row>
    <row r="15" customFormat="false" ht="15" hidden="false" customHeight="false" outlineLevel="0" collapsed="false">
      <c r="A15" s="4" t="s">
        <v>167</v>
      </c>
      <c r="C15" s="6" t="n">
        <f aca="false">Drivers!C$56</f>
        <v>250</v>
      </c>
      <c r="D15" s="6" t="n">
        <f aca="false">Drivers!C$57</f>
        <v>150</v>
      </c>
      <c r="E15" s="6" t="n">
        <f aca="false">Drivers!C$58</f>
        <v>100</v>
      </c>
      <c r="F15" s="6" t="n">
        <f aca="false">Drivers!C$58</f>
        <v>100</v>
      </c>
      <c r="G15" s="6" t="n">
        <f aca="false">Drivers!C$58</f>
        <v>100</v>
      </c>
      <c r="H15" s="6" t="n">
        <f aca="false">Drivers!C$58</f>
        <v>100</v>
      </c>
      <c r="I15" s="6" t="n">
        <f aca="false">Drivers!C$58</f>
        <v>100</v>
      </c>
      <c r="J15" s="6" t="n">
        <f aca="false">Drivers!C$58</f>
        <v>100</v>
      </c>
      <c r="K15" s="6" t="n">
        <f aca="false">Drivers!C$58</f>
        <v>100</v>
      </c>
    </row>
    <row r="16" customFormat="false" ht="15" hidden="false" customHeight="false" outlineLevel="0" collapsed="false">
      <c r="A16" s="4" t="s">
        <v>168</v>
      </c>
      <c r="C16" s="6" t="n">
        <f aca="false">Drivers!$B$38</f>
        <v>35</v>
      </c>
      <c r="D16" s="6" t="n">
        <f aca="false">Drivers!$B$38</f>
        <v>35</v>
      </c>
      <c r="E16" s="6" t="n">
        <f aca="false">Drivers!$B$38</f>
        <v>35</v>
      </c>
      <c r="F16" s="6" t="n">
        <f aca="false">Drivers!$B$38</f>
        <v>35</v>
      </c>
      <c r="G16" s="6" t="n">
        <f aca="false">Drivers!$B$38</f>
        <v>35</v>
      </c>
      <c r="H16" s="6" t="n">
        <f aca="false">Drivers!$B$38</f>
        <v>35</v>
      </c>
      <c r="I16" s="6" t="n">
        <f aca="false">Drivers!$B$38</f>
        <v>35</v>
      </c>
      <c r="J16" s="6" t="n">
        <f aca="false">Drivers!$B$38</f>
        <v>35</v>
      </c>
      <c r="K16" s="6" t="n">
        <f aca="false">Drivers!$B$38</f>
        <v>35</v>
      </c>
    </row>
    <row r="17" customFormat="false" ht="15" hidden="false" customHeight="false" outlineLevel="0" collapsed="false">
      <c r="A17" s="4" t="s">
        <v>169</v>
      </c>
      <c r="C17" s="6" t="n">
        <f aca="false">Drivers!C$48</f>
        <v>55</v>
      </c>
      <c r="D17" s="6" t="n">
        <f aca="false">Drivers!D$48</f>
        <v>55</v>
      </c>
      <c r="E17" s="6" t="n">
        <f aca="false">Drivers!E$48</f>
        <v>55</v>
      </c>
      <c r="F17" s="6" t="n">
        <f aca="false">Drivers!F$48</f>
        <v>55</v>
      </c>
      <c r="G17" s="6" t="n">
        <f aca="false">Drivers!G$48</f>
        <v>40</v>
      </c>
      <c r="H17" s="6" t="n">
        <f aca="false">Drivers!H$48</f>
        <v>0</v>
      </c>
      <c r="I17" s="6" t="n">
        <f aca="false">Drivers!I$48</f>
        <v>0</v>
      </c>
      <c r="J17" s="6" t="n">
        <f aca="false">Drivers!J$48</f>
        <v>0</v>
      </c>
      <c r="K17" s="6" t="n">
        <f aca="false">Drivers!K$48</f>
        <v>0</v>
      </c>
    </row>
    <row r="18" customFormat="false" ht="15" hidden="false" customHeight="false" outlineLevel="0" collapsed="false">
      <c r="A18" s="4" t="s">
        <v>170</v>
      </c>
      <c r="C18" s="25" t="n">
        <f aca="false">C11-C15-C16</f>
        <v>451.2</v>
      </c>
      <c r="D18" s="25" t="n">
        <f aca="false">D11-D15-D16</f>
        <v>679.06885</v>
      </c>
      <c r="E18" s="25" t="n">
        <f aca="false">E11-E15-E16</f>
        <v>806.770794375</v>
      </c>
      <c r="F18" s="25" t="n">
        <f aca="false">F11-F15-F16</f>
        <v>849.48264046875</v>
      </c>
      <c r="G18" s="25" t="n">
        <f aca="false">G11-G15-G16</f>
        <v>874.094706480468</v>
      </c>
      <c r="H18" s="25" t="n">
        <f aca="false">H11-H15-H16</f>
        <v>893.42804445041</v>
      </c>
      <c r="I18" s="25" t="n">
        <f aca="false">I11-I15-I16</f>
        <v>913.126835275758</v>
      </c>
      <c r="J18" s="25" t="n">
        <f aca="false">J11-J15-J16</f>
        <v>933.197857666022</v>
      </c>
      <c r="K18" s="25" t="n">
        <f aca="false">K11-K15-K16</f>
        <v>953.64801264621</v>
      </c>
    </row>
    <row r="19" customFormat="false" ht="15" hidden="false" customHeight="false" outlineLevel="0" collapsed="false">
      <c r="A19" s="4" t="s">
        <v>171</v>
      </c>
      <c r="C19" s="6" t="n">
        <f aca="false">Drivers!$B$39*(1+Drivers!$B$40)^(C$4-2026)</f>
        <v>153.75</v>
      </c>
      <c r="D19" s="6" t="n">
        <f aca="false">Drivers!$B$39*(1+Drivers!$B$40)^(D$4-2026)</f>
        <v>157.59375</v>
      </c>
      <c r="E19" s="6" t="n">
        <f aca="false">Drivers!$B$39*(1+Drivers!$B$40)^(E$4-2026)</f>
        <v>161.53359375</v>
      </c>
      <c r="F19" s="6" t="n">
        <f aca="false">Drivers!$B$39*(1+Drivers!$B$40)^(F$4-2026)</f>
        <v>165.57193359375</v>
      </c>
      <c r="G19" s="6" t="n">
        <f aca="false">Drivers!$B$39*(1+Drivers!$B$40)^(G$4-2026)</f>
        <v>169.711231933594</v>
      </c>
      <c r="H19" s="6" t="n">
        <f aca="false">Drivers!$B$39*(1+Drivers!$B$40)^(H$4-2026)</f>
        <v>173.954012731934</v>
      </c>
      <c r="I19" s="6" t="n">
        <f aca="false">Drivers!$B$39*(1+Drivers!$B$40)^(I$4-2026)</f>
        <v>178.302863050232</v>
      </c>
      <c r="J19" s="6" t="n">
        <f aca="false">Drivers!$B$39*(1+Drivers!$B$40)^(J$4-2026)</f>
        <v>182.760434626488</v>
      </c>
      <c r="K19" s="6" t="n">
        <f aca="false">Drivers!$B$39*(1+Drivers!$B$40)^(K$4-2026)</f>
        <v>187.32944549215</v>
      </c>
    </row>
    <row r="20" customFormat="false" ht="15" hidden="false" customHeight="false" outlineLevel="0" collapsed="false">
      <c r="A20" s="4" t="s">
        <v>172</v>
      </c>
      <c r="C20" s="5" t="n">
        <f aca="false">IF(C$4&lt;=2032,Drivers!$B$41,Drivers!$B$42)</f>
        <v>0.2</v>
      </c>
      <c r="D20" s="5" t="n">
        <f aca="false">IF(D$4&lt;=2032,Drivers!$B$41,Drivers!$B$42)</f>
        <v>0.2</v>
      </c>
      <c r="E20" s="5" t="n">
        <f aca="false">IF(E$4&lt;=2032,Drivers!$B$41,Drivers!$B$42)</f>
        <v>0.2</v>
      </c>
      <c r="F20" s="5" t="n">
        <f aca="false">IF(F$4&lt;=2032,Drivers!$B$41,Drivers!$B$42)</f>
        <v>0.2</v>
      </c>
      <c r="G20" s="5" t="n">
        <f aca="false">IF(G$4&lt;=2032,Drivers!$B$41,Drivers!$B$42)</f>
        <v>0.2</v>
      </c>
      <c r="H20" s="5" t="n">
        <f aca="false">IF(H$4&lt;=2032,Drivers!$B$41,Drivers!$B$42)</f>
        <v>0.2</v>
      </c>
      <c r="I20" s="5" t="n">
        <f aca="false">IF(I$4&lt;=2032,Drivers!$B$41,Drivers!$B$42)</f>
        <v>0.24</v>
      </c>
      <c r="J20" s="5" t="n">
        <f aca="false">IF(J$4&lt;=2032,Drivers!$B$41,Drivers!$B$42)</f>
        <v>0.24</v>
      </c>
      <c r="K20" s="5" t="n">
        <f aca="false">IF(K$4&lt;=2032,Drivers!$B$41,Drivers!$B$42)</f>
        <v>0.24</v>
      </c>
    </row>
    <row r="21" customFormat="false" ht="15" hidden="false" customHeight="false" outlineLevel="0" collapsed="false">
      <c r="A21" s="4" t="s">
        <v>173</v>
      </c>
      <c r="C21" s="25" t="n">
        <f aca="false">MAX(C19,C20*C18)</f>
        <v>153.75</v>
      </c>
      <c r="D21" s="25" t="n">
        <f aca="false">MAX(D19,D20*D18)</f>
        <v>157.59375</v>
      </c>
      <c r="E21" s="25" t="n">
        <f aca="false">MAX(E19,E20*E18)</f>
        <v>161.53359375</v>
      </c>
      <c r="F21" s="25" t="n">
        <f aca="false">MAX(F19,F20*F18)</f>
        <v>169.89652809375</v>
      </c>
      <c r="G21" s="25" t="n">
        <f aca="false">MAX(G19,G20*G18)</f>
        <v>174.818941296094</v>
      </c>
      <c r="H21" s="25" t="n">
        <f aca="false">MAX(H19,H20*H18)</f>
        <v>178.685608890082</v>
      </c>
      <c r="I21" s="25" t="n">
        <f aca="false">MAX(I19,I20*I18)</f>
        <v>219.150440466182</v>
      </c>
      <c r="J21" s="25" t="n">
        <f aca="false">MAX(J19,J20*J18)</f>
        <v>223.967485839845</v>
      </c>
      <c r="K21" s="25" t="n">
        <f aca="false">MAX(K19,K20*K18)</f>
        <v>228.87552303509</v>
      </c>
    </row>
    <row r="22" customFormat="false" ht="15" hidden="false" customHeight="false" outlineLevel="0" collapsed="false">
      <c r="A22" s="8" t="s">
        <v>174</v>
      </c>
      <c r="B22" s="6" t="n">
        <f aca="false">Drivers!C$53</f>
        <v>862</v>
      </c>
      <c r="C22" s="25" t="n">
        <f aca="false">C11-C21+C13-C12-C14-C15-C16-C17</f>
        <v>327.315</v>
      </c>
      <c r="D22" s="25" t="n">
        <f aca="false">D11-D21+D13-D12-D14-D15-D16-D17</f>
        <v>445.69155</v>
      </c>
      <c r="E22" s="25" t="n">
        <f aca="false">E11-E21+E13-E12-E14-E15-E16-E17</f>
        <v>542.489774375</v>
      </c>
      <c r="F22" s="25" t="n">
        <f aca="false">F11-F21+F13-F12-F14-F15-F16-F17</f>
        <v>562.42285671875</v>
      </c>
      <c r="G22" s="25" t="n">
        <f aca="false">G11-G21+G13-G12-G14-G15-G16-G17</f>
        <v>588.947356261719</v>
      </c>
      <c r="H22" s="25" t="n">
        <f aca="false">H11-H21+H13-H12-H14-H15-H16-H17</f>
        <v>652.906548768867</v>
      </c>
      <c r="I22" s="25" t="n">
        <f aca="false">I11-I21+I13-I12-I14-I15-I16-I17</f>
        <v>630.342657269727</v>
      </c>
      <c r="J22" s="25" t="n">
        <f aca="false">J11-J21+J13-J12-J14-J15-J16-J17</f>
        <v>644.043393029252</v>
      </c>
      <c r="K22" s="25" t="n">
        <f aca="false">K11-K21+K13-K12-K14-K15-K16-K17</f>
        <v>658.141487985117</v>
      </c>
    </row>
    <row r="23" customFormat="false" ht="15" hidden="false" customHeight="false" outlineLevel="0" collapsed="false">
      <c r="A23" s="4" t="s">
        <v>175</v>
      </c>
      <c r="B23" s="32" t="n">
        <f aca="false">1/(1+Drivers!$B$21)^B5</f>
        <v>0.978125629185679</v>
      </c>
      <c r="C23" s="32" t="n">
        <f aca="false">1/(1+Drivers!$B$21)^C5</f>
        <v>0.91533180778032</v>
      </c>
      <c r="D23" s="32" t="n">
        <f aca="false">1/(1+Drivers!$B$21)^D5</f>
        <v>0.837832318334389</v>
      </c>
      <c r="E23" s="32" t="n">
        <f aca="false">1/(1+Drivers!$B$21)^E5</f>
        <v>0.766894570557793</v>
      </c>
      <c r="F23" s="32" t="n">
        <f aca="false">1/(1+Drivers!$B$21)^F5</f>
        <v>0.701962993645578</v>
      </c>
      <c r="G23" s="32" t="n">
        <f aca="false">1/(1+Drivers!$B$21)^G5</f>
        <v>0.642529055968492</v>
      </c>
      <c r="H23" s="32" t="n">
        <f aca="false">1/(1+Drivers!$B$21)^H5</f>
        <v>0.588127282351022</v>
      </c>
      <c r="I23" s="32" t="n">
        <f aca="false">1/(1+Drivers!$B$21)^I5</f>
        <v>0.538331608559288</v>
      </c>
      <c r="J23" s="32" t="n">
        <f aca="false">1/(1+Drivers!$B$21)^J5</f>
        <v>0.492752044447861</v>
      </c>
      <c r="K23" s="32" t="n">
        <f aca="false">1/(1+Drivers!$B$21)^K5</f>
        <v>0.451031619631909</v>
      </c>
    </row>
    <row r="24" customFormat="false" ht="15" hidden="false" customHeight="false" outlineLevel="0" collapsed="false">
      <c r="A24" s="4" t="s">
        <v>176</v>
      </c>
      <c r="B24" s="25" t="n">
        <f aca="false">B22*B23</f>
        <v>843.144292358055</v>
      </c>
      <c r="C24" s="25" t="n">
        <f aca="false">C22*C23</f>
        <v>299.601830663616</v>
      </c>
      <c r="D24" s="25" t="n">
        <f aca="false">D22*D23</f>
        <v>373.414784598547</v>
      </c>
      <c r="E24" s="25" t="n">
        <f aca="false">E22*E23</f>
        <v>416.03246255131</v>
      </c>
      <c r="F24" s="25" t="n">
        <f aca="false">F22*F23</f>
        <v>394.800032196992</v>
      </c>
      <c r="G24" s="25" t="n">
        <f aca="false">G22*G23</f>
        <v>378.415788833981</v>
      </c>
      <c r="H24" s="25" t="n">
        <f aca="false">H22*H23</f>
        <v>383.992154156619</v>
      </c>
      <c r="I24" s="25" t="n">
        <f aca="false">I22*I23</f>
        <v>339.333376631548</v>
      </c>
      <c r="J24" s="25" t="n">
        <f aca="false">J22*J23</f>
        <v>317.353698628301</v>
      </c>
      <c r="K24" s="25" t="n">
        <f aca="false">K22*K23</f>
        <v>296.842621272882</v>
      </c>
    </row>
    <row r="25" customFormat="false" ht="15" hidden="false" customHeight="false" outlineLevel="0" collapsed="false">
      <c r="A25" s="4" t="s">
        <v>177</v>
      </c>
      <c r="C25" s="25" t="n">
        <f aca="false">C11+C13</f>
        <v>1636.2</v>
      </c>
      <c r="D25" s="25" t="n">
        <f aca="false">D11+D13</f>
        <v>1733.680275</v>
      </c>
      <c r="E25" s="25" t="n">
        <f aca="false">E11+E13</f>
        <v>1806.6782175</v>
      </c>
      <c r="F25" s="25" t="n">
        <f aca="false">F11+F13</f>
        <v>1857.79060542187</v>
      </c>
      <c r="G25" s="25" t="n">
        <f aca="false">G11+G13</f>
        <v>1897.62429868242</v>
      </c>
      <c r="H25" s="25" t="n">
        <f aca="false">H11+H13</f>
        <v>1933.60596247128</v>
      </c>
      <c r="I25" s="25" t="n">
        <f aca="false">I11+I13</f>
        <v>1970.84717864449</v>
      </c>
      <c r="J25" s="25" t="n">
        <f aca="false">J11+J13</f>
        <v>2009.09204139585</v>
      </c>
      <c r="K25" s="25" t="n">
        <f aca="false">K11+K13</f>
        <v>2048.2197967975</v>
      </c>
    </row>
    <row r="28" customFormat="false" ht="15" hidden="false" customHeight="false" outlineLevel="0" collapsed="false">
      <c r="A28" s="8" t="s">
        <v>178</v>
      </c>
    </row>
    <row r="29" customFormat="false" ht="15" hidden="false" customHeight="false" outlineLevel="0" collapsed="false">
      <c r="A29" s="4" t="s">
        <v>179</v>
      </c>
      <c r="B29" s="5" t="n">
        <f aca="false">Drivers!C$59</f>
        <v>0.015</v>
      </c>
    </row>
    <row r="30" customFormat="false" ht="15" hidden="false" customHeight="false" outlineLevel="0" collapsed="false">
      <c r="A30" s="4" t="s">
        <v>180</v>
      </c>
      <c r="B30" s="5" t="n">
        <f aca="false">Drivers!C$60</f>
        <v>0.0925</v>
      </c>
    </row>
    <row r="31" customFormat="false" ht="15" hidden="false" customHeight="false" outlineLevel="0" collapsed="false">
      <c r="A31" s="4" t="s">
        <v>181</v>
      </c>
      <c r="B31" s="25" t="n">
        <f aca="false">K6*(1+B29)</f>
        <v>21585.2853335073</v>
      </c>
    </row>
    <row r="32" customFormat="false" ht="15" hidden="false" customHeight="false" outlineLevel="0" collapsed="false">
      <c r="A32" s="4" t="s">
        <v>182</v>
      </c>
      <c r="B32" s="6" t="n">
        <f aca="false">Drivers!$B$35*(1+Drivers!$B$36)^(2036-2026)</f>
        <v>192.012681629454</v>
      </c>
    </row>
    <row r="33" customFormat="false" ht="15" hidden="false" customHeight="false" outlineLevel="0" collapsed="false">
      <c r="A33" s="4" t="s">
        <v>183</v>
      </c>
      <c r="B33" s="25" t="n">
        <f aca="false">B31*K8-B32</f>
        <v>1103.10443838098</v>
      </c>
    </row>
    <row r="34" customFormat="false" ht="15" hidden="false" customHeight="false" outlineLevel="0" collapsed="false">
      <c r="A34" s="4" t="s">
        <v>184</v>
      </c>
      <c r="B34" s="6" t="n">
        <f aca="false">(B33-Drivers!C$58-Drivers!$B$38)*(1-Drivers!$B$42)</f>
        <v>735.759373169546</v>
      </c>
    </row>
    <row r="35" customFormat="false" ht="15" hidden="false" customHeight="false" outlineLevel="0" collapsed="false">
      <c r="A35" s="4" t="s">
        <v>185</v>
      </c>
      <c r="B35" s="6" t="n">
        <f aca="false">B34*(1-B29/B30)/(Drivers!$B$21-B29)</f>
        <v>7954.15538561672</v>
      </c>
    </row>
    <row r="36" customFormat="false" ht="15" hidden="false" customHeight="false" outlineLevel="0" collapsed="false">
      <c r="A36" s="4" t="s">
        <v>186</v>
      </c>
      <c r="B36" s="6" t="n">
        <f aca="false">B35/(1+Drivers!$B$21)^9.5</f>
        <v>3432.34028119751</v>
      </c>
    </row>
    <row r="38" customFormat="false" ht="15" hidden="false" customHeight="false" outlineLevel="0" collapsed="false">
      <c r="A38" s="8" t="s">
        <v>187</v>
      </c>
    </row>
    <row r="39" customFormat="false" ht="15" hidden="false" customHeight="false" outlineLevel="0" collapsed="false">
      <c r="A39" s="4" t="s">
        <v>188</v>
      </c>
      <c r="B39" s="25" t="n">
        <f aca="false">SUM(B24:K24)</f>
        <v>4042.93104189185</v>
      </c>
    </row>
    <row r="40" customFormat="false" ht="15" hidden="false" customHeight="false" outlineLevel="0" collapsed="false">
      <c r="A40" s="8" t="s">
        <v>189</v>
      </c>
      <c r="B40" s="25" t="n">
        <f aca="false">B39+B36</f>
        <v>7475.27132308936</v>
      </c>
    </row>
    <row r="41" customFormat="false" ht="15" hidden="false" customHeight="false" outlineLevel="0" collapsed="false">
      <c r="A41" s="4" t="s">
        <v>190</v>
      </c>
      <c r="B41" s="9" t="n">
        <f aca="false">B36/B40</f>
        <v>0.45915929106089</v>
      </c>
    </row>
    <row r="42" customFormat="false" ht="15" hidden="false" customHeight="false" outlineLevel="0" collapsed="false">
      <c r="A42" s="4" t="s">
        <v>191</v>
      </c>
      <c r="B42" s="6" t="n">
        <f aca="false">Drivers!$B$31</f>
        <v>6910</v>
      </c>
    </row>
    <row r="43" customFormat="false" ht="15" hidden="false" customHeight="false" outlineLevel="0" collapsed="false">
      <c r="A43" s="4" t="s">
        <v>192</v>
      </c>
      <c r="B43" s="25" t="n">
        <f aca="false">B40-B42</f>
        <v>565.271323089362</v>
      </c>
    </row>
    <row r="44" customFormat="false" ht="15" hidden="false" customHeight="false" outlineLevel="0" collapsed="false">
      <c r="A44" s="4" t="s">
        <v>193</v>
      </c>
      <c r="B44" s="6" t="n">
        <f aca="false">MAX(B43,0)*Drivers!$B$22</f>
        <v>580.514458529635</v>
      </c>
    </row>
    <row r="45" customFormat="false" ht="15" hidden="false" customHeight="false" outlineLevel="0" collapsed="false">
      <c r="A45" s="8" t="s">
        <v>56</v>
      </c>
      <c r="B45" s="33" t="n">
        <f aca="false">B44/Drivers!$B$5</f>
        <v>2.00177399492978</v>
      </c>
    </row>
    <row r="46" customFormat="false" ht="15" hidden="false" customHeight="false" outlineLevel="0" collapsed="false">
      <c r="A46" s="4" t="s">
        <v>194</v>
      </c>
      <c r="B46" s="34" t="n">
        <f aca="false">B35/(K25*(1+B29))</f>
        <v>3.82605729302146</v>
      </c>
    </row>
    <row r="48" customFormat="false" ht="15" hidden="false" customHeight="false" outlineLevel="0" collapsed="false">
      <c r="A48" s="8" t="s">
        <v>195</v>
      </c>
    </row>
    <row r="49" customFormat="false" ht="15" hidden="false" customHeight="false" outlineLevel="0" collapsed="false">
      <c r="A49" s="4" t="s">
        <v>196</v>
      </c>
      <c r="B49" s="6" t="n">
        <f aca="false">Drivers!$B$27-(B22-Drivers!$B$44)</f>
        <v>5692</v>
      </c>
      <c r="C49" s="25" t="n">
        <f aca="false">B49-C52</f>
        <v>5776.831</v>
      </c>
      <c r="D49" s="25" t="n">
        <f aca="false">C49-D52</f>
        <v>5748.629803</v>
      </c>
      <c r="E49" s="25" t="n">
        <f aca="false">D49-E52</f>
        <v>5621.853706214</v>
      </c>
      <c r="F49" s="25" t="n">
        <f aca="false">E49-F52</f>
        <v>5467.15763298673</v>
      </c>
      <c r="G49" s="25" t="n">
        <f aca="false">F49-G52</f>
        <v>5276.19120760318</v>
      </c>
      <c r="H49" s="25" t="n">
        <f aca="false">G49-H52</f>
        <v>5009.23470491331</v>
      </c>
      <c r="I49" s="25" t="n">
        <f aca="false">H49-I52</f>
        <v>4748.02383405312</v>
      </c>
      <c r="J49" s="25" t="n">
        <f aca="false">I49-J52</f>
        <v>4456.65594256922</v>
      </c>
      <c r="K49" s="25" t="n">
        <f aca="false">J49-K52</f>
        <v>4132.83377896596</v>
      </c>
    </row>
    <row r="50" customFormat="false" ht="15" hidden="false" customHeight="false" outlineLevel="0" collapsed="false">
      <c r="A50" s="4" t="s">
        <v>197</v>
      </c>
      <c r="C50" s="25" t="n">
        <f aca="false">0.063*(B49+850)</f>
        <v>412.146</v>
      </c>
      <c r="D50" s="25" t="n">
        <f aca="false">0.063*(C49+850)</f>
        <v>417.490353</v>
      </c>
      <c r="E50" s="25" t="n">
        <f aca="false">0.063*(D49+850)</f>
        <v>415.713677589</v>
      </c>
      <c r="F50" s="25" t="n">
        <f aca="false">0.063*(E49+850)</f>
        <v>407.726783491482</v>
      </c>
      <c r="G50" s="25" t="n">
        <f aca="false">0.063*(F49+850)</f>
        <v>397.980930878164</v>
      </c>
      <c r="H50" s="25" t="n">
        <f aca="false">0.063*(G49+850)</f>
        <v>385.950046079</v>
      </c>
      <c r="I50" s="25" t="n">
        <f aca="false">0.063*(H49+850)</f>
        <v>369.131786409539</v>
      </c>
      <c r="J50" s="25" t="n">
        <f aca="false">0.063*(I49+850)</f>
        <v>352.675501545347</v>
      </c>
      <c r="K50" s="25" t="n">
        <f aca="false">0.063*(J49+850)</f>
        <v>334.319324381861</v>
      </c>
    </row>
    <row r="51" customFormat="false" ht="15" hidden="false" customHeight="false" outlineLevel="0" collapsed="false">
      <c r="A51" s="4" t="s">
        <v>198</v>
      </c>
      <c r="C51" s="34" t="n">
        <f aca="false">IF(C25&gt;0,C49/C25,99)</f>
        <v>3.53063867497861</v>
      </c>
      <c r="D51" s="34" t="n">
        <f aca="false">IF(D25&gt;0,D49/D25,99)</f>
        <v>3.3158534972661</v>
      </c>
      <c r="E51" s="34" t="n">
        <f aca="false">IF(E25&gt;0,E49/E25,99)</f>
        <v>3.1117072491156</v>
      </c>
      <c r="F51" s="34" t="n">
        <f aca="false">IF(F25&gt;0,F49/F25,99)</f>
        <v>2.94282768845482</v>
      </c>
      <c r="G51" s="34" t="n">
        <f aca="false">IF(G25&gt;0,G49/G25,99)</f>
        <v>2.78041929125096</v>
      </c>
      <c r="H51" s="34" t="n">
        <f aca="false">IF(H25&gt;0,H49/H25,99)</f>
        <v>2.59061815185507</v>
      </c>
      <c r="I51" s="34" t="n">
        <f aca="false">IF(I25&gt;0,I49/I25,99)</f>
        <v>2.40912836139772</v>
      </c>
      <c r="J51" s="34" t="n">
        <f aca="false">IF(J25&gt;0,J49/J25,99)</f>
        <v>2.21824378910629</v>
      </c>
      <c r="K51" s="34" t="n">
        <f aca="false">IF(K25&gt;0,K49/K25,99)</f>
        <v>2.01776869134254</v>
      </c>
    </row>
    <row r="52" customFormat="false" ht="15" hidden="false" customHeight="false" outlineLevel="0" collapsed="false">
      <c r="A52" s="4" t="s">
        <v>199</v>
      </c>
      <c r="C52" s="25" t="n">
        <f aca="false">C22-C50</f>
        <v>-84.831</v>
      </c>
      <c r="D52" s="25" t="n">
        <f aca="false">D22-D50</f>
        <v>28.201197</v>
      </c>
      <c r="E52" s="25" t="n">
        <f aca="false">E22-E50</f>
        <v>126.776096786</v>
      </c>
      <c r="F52" s="25" t="n">
        <f aca="false">F22-F50</f>
        <v>154.696073227268</v>
      </c>
      <c r="G52" s="25" t="n">
        <f aca="false">G22-G50</f>
        <v>190.966425383555</v>
      </c>
      <c r="H52" s="25" t="n">
        <f aca="false">H22-H50</f>
        <v>266.956502689867</v>
      </c>
      <c r="I52" s="25" t="n">
        <f aca="false">I22-I50</f>
        <v>261.210870860189</v>
      </c>
      <c r="J52" s="25" t="n">
        <f aca="false">J22-J50</f>
        <v>291.367891483906</v>
      </c>
      <c r="K52" s="25" t="n">
        <f aca="false">K22-K50</f>
        <v>323.822163603256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5" min="2" style="0" width="13"/>
  </cols>
  <sheetData>
    <row r="1" customFormat="false" ht="16.15" hidden="false" customHeight="false" outlineLevel="0" collapsed="false">
      <c r="A1" s="1" t="s">
        <v>201</v>
      </c>
    </row>
    <row r="3" customFormat="false" ht="15" hidden="false" customHeight="false" outlineLevel="0" collapsed="false">
      <c r="A3" s="3" t="s">
        <v>156</v>
      </c>
      <c r="B3" s="3" t="s">
        <v>157</v>
      </c>
      <c r="C3" s="3" t="s">
        <v>144</v>
      </c>
      <c r="D3" s="3" t="s">
        <v>145</v>
      </c>
      <c r="E3" s="3" t="s">
        <v>146</v>
      </c>
      <c r="F3" s="3" t="s">
        <v>147</v>
      </c>
      <c r="G3" s="3" t="s">
        <v>148</v>
      </c>
      <c r="H3" s="3" t="s">
        <v>149</v>
      </c>
      <c r="I3" s="3" t="s">
        <v>150</v>
      </c>
      <c r="J3" s="3" t="s">
        <v>151</v>
      </c>
      <c r="K3" s="3" t="s">
        <v>152</v>
      </c>
    </row>
    <row r="4" customFormat="false" ht="15" hidden="false" customHeight="false" outlineLevel="0" collapsed="false">
      <c r="A4" s="4" t="s">
        <v>158</v>
      </c>
      <c r="B4" s="30" t="n">
        <v>2026.5</v>
      </c>
      <c r="C4" s="31" t="n">
        <v>2027</v>
      </c>
      <c r="D4" s="31" t="n">
        <v>2028</v>
      </c>
      <c r="E4" s="31" t="n">
        <v>2029</v>
      </c>
      <c r="F4" s="31" t="n">
        <v>2030</v>
      </c>
      <c r="G4" s="31" t="n">
        <v>2031</v>
      </c>
      <c r="H4" s="31" t="n">
        <v>2032</v>
      </c>
      <c r="I4" s="31" t="n">
        <v>2033</v>
      </c>
      <c r="J4" s="31" t="n">
        <v>2034</v>
      </c>
      <c r="K4" s="31" t="n">
        <v>2035</v>
      </c>
    </row>
    <row r="5" customFormat="false" ht="15" hidden="false" customHeight="false" outlineLevel="0" collapsed="false">
      <c r="A5" s="4" t="s">
        <v>159</v>
      </c>
      <c r="B5" s="19" t="n">
        <v>0.25</v>
      </c>
      <c r="C5" s="21" t="n">
        <f aca="false">C4-2026</f>
        <v>1</v>
      </c>
      <c r="D5" s="21" t="n">
        <f aca="false">D4-2026</f>
        <v>2</v>
      </c>
      <c r="E5" s="21" t="n">
        <f aca="false">E4-2026</f>
        <v>3</v>
      </c>
      <c r="F5" s="21" t="n">
        <f aca="false">F4-2026</f>
        <v>4</v>
      </c>
      <c r="G5" s="21" t="n">
        <f aca="false">G4-2026</f>
        <v>5</v>
      </c>
      <c r="H5" s="21" t="n">
        <f aca="false">H4-2026</f>
        <v>6</v>
      </c>
      <c r="I5" s="21" t="n">
        <f aca="false">I4-2026</f>
        <v>7</v>
      </c>
      <c r="J5" s="21" t="n">
        <f aca="false">J4-2026</f>
        <v>8</v>
      </c>
      <c r="K5" s="21" t="n">
        <f aca="false">K4-2026</f>
        <v>9</v>
      </c>
    </row>
    <row r="6" customFormat="false" ht="15" hidden="false" customHeight="false" outlineLevel="0" collapsed="false">
      <c r="A6" s="4" t="s">
        <v>160</v>
      </c>
      <c r="B6" s="6" t="n">
        <f aca="false">Drivers!$B$34</f>
        <v>17450</v>
      </c>
      <c r="C6" s="25" t="n">
        <f aca="false">B6*(1+C7)</f>
        <v>17537.25</v>
      </c>
      <c r="D6" s="25" t="n">
        <f aca="false">C6*(1+D7)</f>
        <v>17712.6225</v>
      </c>
      <c r="E6" s="25" t="n">
        <f aca="false">D6*(1+E7)</f>
        <v>17889.748725</v>
      </c>
      <c r="F6" s="25" t="n">
        <f aca="false">E6*(1+F7)</f>
        <v>18068.64621225</v>
      </c>
      <c r="G6" s="25" t="n">
        <f aca="false">F6*(1+G7)</f>
        <v>18249.3326743725</v>
      </c>
      <c r="H6" s="25" t="n">
        <f aca="false">G6*(1+H7)</f>
        <v>18431.8260011162</v>
      </c>
      <c r="I6" s="25" t="n">
        <f aca="false">H6*(1+I7)</f>
        <v>18616.1442611274</v>
      </c>
      <c r="J6" s="25" t="n">
        <f aca="false">I6*(1+J7)</f>
        <v>18802.3057037387</v>
      </c>
      <c r="K6" s="25" t="n">
        <f aca="false">J6*(1+K7)</f>
        <v>18990.328760776</v>
      </c>
    </row>
    <row r="7" customFormat="false" ht="15" hidden="false" customHeight="false" outlineLevel="0" collapsed="false">
      <c r="A7" s="4" t="s">
        <v>143</v>
      </c>
      <c r="C7" s="5" t="n">
        <f aca="false">Drivers!C69</f>
        <v>0.005</v>
      </c>
      <c r="D7" s="5" t="n">
        <f aca="false">Drivers!D69</f>
        <v>0.01</v>
      </c>
      <c r="E7" s="5" t="n">
        <f aca="false">Drivers!E69</f>
        <v>0.01</v>
      </c>
      <c r="F7" s="5" t="n">
        <f aca="false">Drivers!F69</f>
        <v>0.01</v>
      </c>
      <c r="G7" s="5" t="n">
        <f aca="false">Drivers!G69</f>
        <v>0.01</v>
      </c>
      <c r="H7" s="5" t="n">
        <f aca="false">Drivers!H69</f>
        <v>0.01</v>
      </c>
      <c r="I7" s="5" t="n">
        <f aca="false">Drivers!I69</f>
        <v>0.01</v>
      </c>
      <c r="J7" s="5" t="n">
        <f aca="false">Drivers!J69</f>
        <v>0.01</v>
      </c>
      <c r="K7" s="5" t="n">
        <f aca="false">Drivers!K69</f>
        <v>0.01</v>
      </c>
    </row>
    <row r="8" customFormat="false" ht="15" hidden="false" customHeight="false" outlineLevel="0" collapsed="false">
      <c r="A8" s="4" t="s">
        <v>153</v>
      </c>
      <c r="C8" s="5" t="n">
        <f aca="false">Drivers!C74</f>
        <v>0.038</v>
      </c>
      <c r="D8" s="5" t="n">
        <f aca="false">Drivers!D74</f>
        <v>0.04</v>
      </c>
      <c r="E8" s="5" t="n">
        <f aca="false">Drivers!E74</f>
        <v>0.04</v>
      </c>
      <c r="F8" s="5" t="n">
        <f aca="false">Drivers!F74</f>
        <v>0.04</v>
      </c>
      <c r="G8" s="5" t="n">
        <f aca="false">Drivers!G74</f>
        <v>0.04</v>
      </c>
      <c r="H8" s="5" t="n">
        <f aca="false">Drivers!H74</f>
        <v>0.04</v>
      </c>
      <c r="I8" s="5" t="n">
        <f aca="false">Drivers!I74</f>
        <v>0.04</v>
      </c>
      <c r="J8" s="5" t="n">
        <f aca="false">Drivers!J74</f>
        <v>0.04</v>
      </c>
      <c r="K8" s="5" t="n">
        <f aca="false">Drivers!K74</f>
        <v>0.04</v>
      </c>
    </row>
    <row r="9" customFormat="false" ht="15" hidden="false" customHeight="false" outlineLevel="0" collapsed="false">
      <c r="A9" s="4" t="s">
        <v>161</v>
      </c>
      <c r="C9" s="25" t="n">
        <f aca="false">C6*C8</f>
        <v>666.4155</v>
      </c>
      <c r="D9" s="25" t="n">
        <f aca="false">D6*D8</f>
        <v>708.5049</v>
      </c>
      <c r="E9" s="25" t="n">
        <f aca="false">E6*E8</f>
        <v>715.589949</v>
      </c>
      <c r="F9" s="25" t="n">
        <f aca="false">F6*F8</f>
        <v>722.74584849</v>
      </c>
      <c r="G9" s="25" t="n">
        <f aca="false">G6*G8</f>
        <v>729.9733069749</v>
      </c>
      <c r="H9" s="25" t="n">
        <f aca="false">H6*H8</f>
        <v>737.273040044649</v>
      </c>
      <c r="I9" s="25" t="n">
        <f aca="false">I6*I8</f>
        <v>744.645770445095</v>
      </c>
      <c r="J9" s="25" t="n">
        <f aca="false">J6*J8</f>
        <v>752.092228149547</v>
      </c>
      <c r="K9" s="25" t="n">
        <f aca="false">K6*K8</f>
        <v>759.613150431042</v>
      </c>
    </row>
    <row r="10" customFormat="false" ht="15" hidden="false" customHeight="false" outlineLevel="0" collapsed="false">
      <c r="A10" s="4" t="s">
        <v>162</v>
      </c>
      <c r="C10" s="6" t="n">
        <f aca="false">Drivers!$B$35*(1+Drivers!$B$36)^(C$4-2026)</f>
        <v>153.75</v>
      </c>
      <c r="D10" s="6" t="n">
        <f aca="false">Drivers!$B$35*(1+Drivers!$B$36)^(D$4-2026)</f>
        <v>157.59375</v>
      </c>
      <c r="E10" s="6" t="n">
        <f aca="false">Drivers!$B$35*(1+Drivers!$B$36)^(E$4-2026)</f>
        <v>161.53359375</v>
      </c>
      <c r="F10" s="6" t="n">
        <f aca="false">Drivers!$B$35*(1+Drivers!$B$36)^(F$4-2026)</f>
        <v>165.57193359375</v>
      </c>
      <c r="G10" s="6" t="n">
        <f aca="false">Drivers!$B$35*(1+Drivers!$B$36)^(G$4-2026)</f>
        <v>169.711231933594</v>
      </c>
      <c r="H10" s="6" t="n">
        <f aca="false">Drivers!$B$35*(1+Drivers!$B$36)^(H$4-2026)</f>
        <v>173.954012731934</v>
      </c>
      <c r="I10" s="6" t="n">
        <f aca="false">Drivers!$B$35*(1+Drivers!$B$36)^(I$4-2026)</f>
        <v>178.302863050232</v>
      </c>
      <c r="J10" s="6" t="n">
        <f aca="false">Drivers!$B$35*(1+Drivers!$B$36)^(J$4-2026)</f>
        <v>182.760434626488</v>
      </c>
      <c r="K10" s="6" t="n">
        <f aca="false">Drivers!$B$35*(1+Drivers!$B$36)^(K$4-2026)</f>
        <v>187.32944549215</v>
      </c>
    </row>
    <row r="11" customFormat="false" ht="15" hidden="false" customHeight="false" outlineLevel="0" collapsed="false">
      <c r="A11" s="8" t="s">
        <v>163</v>
      </c>
      <c r="C11" s="25" t="n">
        <f aca="false">C9-C10</f>
        <v>512.6655</v>
      </c>
      <c r="D11" s="25" t="n">
        <f aca="false">D9-D10</f>
        <v>550.91115</v>
      </c>
      <c r="E11" s="25" t="n">
        <f aca="false">E9-E10</f>
        <v>554.05635525</v>
      </c>
      <c r="F11" s="25" t="n">
        <f aca="false">F9-F10</f>
        <v>557.17391489625</v>
      </c>
      <c r="G11" s="25" t="n">
        <f aca="false">G9-G10</f>
        <v>560.262075041306</v>
      </c>
      <c r="H11" s="25" t="n">
        <f aca="false">H9-H10</f>
        <v>563.319027312715</v>
      </c>
      <c r="I11" s="25" t="n">
        <f aca="false">I9-I10</f>
        <v>566.342907394864</v>
      </c>
      <c r="J11" s="25" t="n">
        <f aca="false">J9-J10</f>
        <v>569.331793523059</v>
      </c>
      <c r="K11" s="25" t="n">
        <f aca="false">K9-K10</f>
        <v>572.283704938892</v>
      </c>
    </row>
    <row r="12" customFormat="false" ht="15" hidden="false" customHeight="false" outlineLevel="0" collapsed="false">
      <c r="A12" s="4" t="s">
        <v>164</v>
      </c>
      <c r="C12" s="6" t="n">
        <f aca="false">Drivers!D$55</f>
        <v>750</v>
      </c>
      <c r="D12" s="6" t="n">
        <f aca="false">Drivers!D$54*D6</f>
        <v>850.20588</v>
      </c>
      <c r="E12" s="6" t="n">
        <f aca="false">Drivers!D$54*E6</f>
        <v>858.7079388</v>
      </c>
      <c r="F12" s="6" t="n">
        <f aca="false">Drivers!D$54*F6</f>
        <v>867.295018188</v>
      </c>
      <c r="G12" s="6" t="n">
        <f aca="false">Drivers!D$54*G6</f>
        <v>875.96796836988</v>
      </c>
      <c r="H12" s="6" t="n">
        <f aca="false">Drivers!D$54*H6</f>
        <v>884.727648053579</v>
      </c>
      <c r="I12" s="6" t="n">
        <f aca="false">Drivers!D$54*I6</f>
        <v>893.574924534115</v>
      </c>
      <c r="J12" s="6" t="n">
        <f aca="false">Drivers!D$54*J6</f>
        <v>902.510673779456</v>
      </c>
      <c r="K12" s="6" t="n">
        <f aca="false">Drivers!D$54*K6</f>
        <v>911.53578051725</v>
      </c>
    </row>
    <row r="13" customFormat="false" ht="15" hidden="false" customHeight="false" outlineLevel="0" collapsed="false">
      <c r="A13" s="4" t="s">
        <v>165</v>
      </c>
      <c r="C13" s="6" t="n">
        <f aca="false">Drivers!$B$43</f>
        <v>900</v>
      </c>
      <c r="D13" s="25" t="n">
        <f aca="false">0.5*C13+0.5*D12</f>
        <v>875.10294</v>
      </c>
      <c r="E13" s="25" t="n">
        <f aca="false">0.5*D13+0.5*E12</f>
        <v>866.9054394</v>
      </c>
      <c r="F13" s="25" t="n">
        <f aca="false">0.5*E13+0.5*F12</f>
        <v>867.100228794</v>
      </c>
      <c r="G13" s="25" t="n">
        <f aca="false">0.5*F13+0.5*G12</f>
        <v>871.53409858194</v>
      </c>
      <c r="H13" s="25" t="n">
        <f aca="false">0.5*G13+0.5*H12</f>
        <v>878.130873317759</v>
      </c>
      <c r="I13" s="25" t="n">
        <f aca="false">0.5*H13+0.5*I12</f>
        <v>885.852898925937</v>
      </c>
      <c r="J13" s="25" t="n">
        <f aca="false">0.5*I13+0.5*J12</f>
        <v>894.181786352696</v>
      </c>
      <c r="K13" s="25" t="n">
        <f aca="false">0.5*J13+0.5*K12</f>
        <v>902.858783434973</v>
      </c>
    </row>
    <row r="14" customFormat="false" ht="15" hidden="false" customHeight="false" outlineLevel="0" collapsed="false">
      <c r="A14" s="4" t="s">
        <v>166</v>
      </c>
      <c r="C14" s="6" t="n">
        <f aca="false">Drivers!$B$37*(C6-B6)</f>
        <v>10.0337499999996</v>
      </c>
      <c r="D14" s="6" t="n">
        <f aca="false">Drivers!$B$37*(D6-C6)</f>
        <v>20.1678375000002</v>
      </c>
      <c r="E14" s="6" t="n">
        <f aca="false">Drivers!$B$37*(E6-D6)</f>
        <v>20.369515875</v>
      </c>
      <c r="F14" s="6" t="n">
        <f aca="false">Drivers!$B$37*(F6-E6)</f>
        <v>20.57321103375</v>
      </c>
      <c r="G14" s="6" t="n">
        <f aca="false">Drivers!$B$37*(G6-F6)</f>
        <v>20.7789431440874</v>
      </c>
      <c r="H14" s="6" t="n">
        <f aca="false">Drivers!$B$37*(H6-G6)</f>
        <v>20.9867325755285</v>
      </c>
      <c r="I14" s="6" t="n">
        <f aca="false">Drivers!$B$37*(I6-H6)</f>
        <v>21.1965999012836</v>
      </c>
      <c r="J14" s="6" t="n">
        <f aca="false">Drivers!$B$37*(J6-I6)</f>
        <v>21.4085659002967</v>
      </c>
      <c r="K14" s="6" t="n">
        <f aca="false">Drivers!$B$37*(K6-J6)</f>
        <v>21.6226515592994</v>
      </c>
    </row>
    <row r="15" customFormat="false" ht="15" hidden="false" customHeight="false" outlineLevel="0" collapsed="false">
      <c r="A15" s="4" t="s">
        <v>167</v>
      </c>
      <c r="C15" s="6" t="n">
        <f aca="false">Drivers!D$56</f>
        <v>275</v>
      </c>
      <c r="D15" s="6" t="n">
        <f aca="false">Drivers!D$57</f>
        <v>175</v>
      </c>
      <c r="E15" s="6" t="n">
        <f aca="false">Drivers!D$58</f>
        <v>150</v>
      </c>
      <c r="F15" s="6" t="n">
        <f aca="false">Drivers!D$58</f>
        <v>150</v>
      </c>
      <c r="G15" s="6" t="n">
        <f aca="false">Drivers!D$58</f>
        <v>150</v>
      </c>
      <c r="H15" s="6" t="n">
        <f aca="false">Drivers!D$58</f>
        <v>150</v>
      </c>
      <c r="I15" s="6" t="n">
        <f aca="false">Drivers!D$58</f>
        <v>150</v>
      </c>
      <c r="J15" s="6" t="n">
        <f aca="false">Drivers!D$58</f>
        <v>150</v>
      </c>
      <c r="K15" s="6" t="n">
        <f aca="false">Drivers!D$58</f>
        <v>150</v>
      </c>
    </row>
    <row r="16" customFormat="false" ht="15" hidden="false" customHeight="false" outlineLevel="0" collapsed="false">
      <c r="A16" s="4" t="s">
        <v>168</v>
      </c>
      <c r="C16" s="6" t="n">
        <f aca="false">Drivers!$B$38</f>
        <v>35</v>
      </c>
      <c r="D16" s="6" t="n">
        <f aca="false">Drivers!$B$38</f>
        <v>35</v>
      </c>
      <c r="E16" s="6" t="n">
        <f aca="false">Drivers!$B$38</f>
        <v>35</v>
      </c>
      <c r="F16" s="6" t="n">
        <f aca="false">Drivers!$B$38</f>
        <v>35</v>
      </c>
      <c r="G16" s="6" t="n">
        <f aca="false">Drivers!$B$38</f>
        <v>35</v>
      </c>
      <c r="H16" s="6" t="n">
        <f aca="false">Drivers!$B$38</f>
        <v>35</v>
      </c>
      <c r="I16" s="6" t="n">
        <f aca="false">Drivers!$B$38</f>
        <v>35</v>
      </c>
      <c r="J16" s="6" t="n">
        <f aca="false">Drivers!$B$38</f>
        <v>35</v>
      </c>
      <c r="K16" s="6" t="n">
        <f aca="false">Drivers!$B$38</f>
        <v>35</v>
      </c>
    </row>
    <row r="17" customFormat="false" ht="15" hidden="false" customHeight="false" outlineLevel="0" collapsed="false">
      <c r="A17" s="4" t="s">
        <v>169</v>
      </c>
      <c r="C17" s="6" t="n">
        <f aca="false">Drivers!C$48</f>
        <v>55</v>
      </c>
      <c r="D17" s="6" t="n">
        <f aca="false">Drivers!D$48</f>
        <v>55</v>
      </c>
      <c r="E17" s="6" t="n">
        <f aca="false">Drivers!E$48</f>
        <v>55</v>
      </c>
      <c r="F17" s="6" t="n">
        <f aca="false">Drivers!F$48</f>
        <v>55</v>
      </c>
      <c r="G17" s="6" t="n">
        <f aca="false">Drivers!G$48</f>
        <v>40</v>
      </c>
      <c r="H17" s="6" t="n">
        <f aca="false">Drivers!H$48</f>
        <v>0</v>
      </c>
      <c r="I17" s="6" t="n">
        <f aca="false">Drivers!I$48</f>
        <v>0</v>
      </c>
      <c r="J17" s="6" t="n">
        <f aca="false">Drivers!J$48</f>
        <v>0</v>
      </c>
      <c r="K17" s="6" t="n">
        <f aca="false">Drivers!K$48</f>
        <v>0</v>
      </c>
    </row>
    <row r="18" customFormat="false" ht="15" hidden="false" customHeight="false" outlineLevel="0" collapsed="false">
      <c r="A18" s="4" t="s">
        <v>170</v>
      </c>
      <c r="C18" s="25" t="n">
        <f aca="false">C11-C15-C16</f>
        <v>202.6655</v>
      </c>
      <c r="D18" s="25" t="n">
        <f aca="false">D11-D15-D16</f>
        <v>340.91115</v>
      </c>
      <c r="E18" s="25" t="n">
        <f aca="false">E11-E15-E16</f>
        <v>369.05635525</v>
      </c>
      <c r="F18" s="25" t="n">
        <f aca="false">F11-F15-F16</f>
        <v>372.17391489625</v>
      </c>
      <c r="G18" s="25" t="n">
        <f aca="false">G11-G15-G16</f>
        <v>375.262075041306</v>
      </c>
      <c r="H18" s="25" t="n">
        <f aca="false">H11-H15-H16</f>
        <v>378.319027312715</v>
      </c>
      <c r="I18" s="25" t="n">
        <f aca="false">I11-I15-I16</f>
        <v>381.342907394864</v>
      </c>
      <c r="J18" s="25" t="n">
        <f aca="false">J11-J15-J16</f>
        <v>384.331793523059</v>
      </c>
      <c r="K18" s="25" t="n">
        <f aca="false">K11-K15-K16</f>
        <v>387.283704938892</v>
      </c>
    </row>
    <row r="19" customFormat="false" ht="15" hidden="false" customHeight="false" outlineLevel="0" collapsed="false">
      <c r="A19" s="4" t="s">
        <v>171</v>
      </c>
      <c r="C19" s="6" t="n">
        <f aca="false">Drivers!$B$39*(1+Drivers!$B$40)^(C$4-2026)</f>
        <v>153.75</v>
      </c>
      <c r="D19" s="6" t="n">
        <f aca="false">Drivers!$B$39*(1+Drivers!$B$40)^(D$4-2026)</f>
        <v>157.59375</v>
      </c>
      <c r="E19" s="6" t="n">
        <f aca="false">Drivers!$B$39*(1+Drivers!$B$40)^(E$4-2026)</f>
        <v>161.53359375</v>
      </c>
      <c r="F19" s="6" t="n">
        <f aca="false">Drivers!$B$39*(1+Drivers!$B$40)^(F$4-2026)</f>
        <v>165.57193359375</v>
      </c>
      <c r="G19" s="6" t="n">
        <f aca="false">Drivers!$B$39*(1+Drivers!$B$40)^(G$4-2026)</f>
        <v>169.711231933594</v>
      </c>
      <c r="H19" s="6" t="n">
        <f aca="false">Drivers!$B$39*(1+Drivers!$B$40)^(H$4-2026)</f>
        <v>173.954012731934</v>
      </c>
      <c r="I19" s="6" t="n">
        <f aca="false">Drivers!$B$39*(1+Drivers!$B$40)^(I$4-2026)</f>
        <v>178.302863050232</v>
      </c>
      <c r="J19" s="6" t="n">
        <f aca="false">Drivers!$B$39*(1+Drivers!$B$40)^(J$4-2026)</f>
        <v>182.760434626488</v>
      </c>
      <c r="K19" s="6" t="n">
        <f aca="false">Drivers!$B$39*(1+Drivers!$B$40)^(K$4-2026)</f>
        <v>187.32944549215</v>
      </c>
    </row>
    <row r="20" customFormat="false" ht="15" hidden="false" customHeight="false" outlineLevel="0" collapsed="false">
      <c r="A20" s="4" t="s">
        <v>172</v>
      </c>
      <c r="C20" s="5" t="n">
        <f aca="false">IF(C$4&lt;=2032,Drivers!$B$41,Drivers!$B$42)</f>
        <v>0.2</v>
      </c>
      <c r="D20" s="5" t="n">
        <f aca="false">IF(D$4&lt;=2032,Drivers!$B$41,Drivers!$B$42)</f>
        <v>0.2</v>
      </c>
      <c r="E20" s="5" t="n">
        <f aca="false">IF(E$4&lt;=2032,Drivers!$B$41,Drivers!$B$42)</f>
        <v>0.2</v>
      </c>
      <c r="F20" s="5" t="n">
        <f aca="false">IF(F$4&lt;=2032,Drivers!$B$41,Drivers!$B$42)</f>
        <v>0.2</v>
      </c>
      <c r="G20" s="5" t="n">
        <f aca="false">IF(G$4&lt;=2032,Drivers!$B$41,Drivers!$B$42)</f>
        <v>0.2</v>
      </c>
      <c r="H20" s="5" t="n">
        <f aca="false">IF(H$4&lt;=2032,Drivers!$B$41,Drivers!$B$42)</f>
        <v>0.2</v>
      </c>
      <c r="I20" s="5" t="n">
        <f aca="false">IF(I$4&lt;=2032,Drivers!$B$41,Drivers!$B$42)</f>
        <v>0.24</v>
      </c>
      <c r="J20" s="5" t="n">
        <f aca="false">IF(J$4&lt;=2032,Drivers!$B$41,Drivers!$B$42)</f>
        <v>0.24</v>
      </c>
      <c r="K20" s="5" t="n">
        <f aca="false">IF(K$4&lt;=2032,Drivers!$B$41,Drivers!$B$42)</f>
        <v>0.24</v>
      </c>
    </row>
    <row r="21" customFormat="false" ht="15" hidden="false" customHeight="false" outlineLevel="0" collapsed="false">
      <c r="A21" s="4" t="s">
        <v>173</v>
      </c>
      <c r="C21" s="25" t="n">
        <f aca="false">MAX(C19,C20*C18)</f>
        <v>153.75</v>
      </c>
      <c r="D21" s="25" t="n">
        <f aca="false">MAX(D19,D20*D18)</f>
        <v>157.59375</v>
      </c>
      <c r="E21" s="25" t="n">
        <f aca="false">MAX(E19,E20*E18)</f>
        <v>161.53359375</v>
      </c>
      <c r="F21" s="25" t="n">
        <f aca="false">MAX(F19,F20*F18)</f>
        <v>165.57193359375</v>
      </c>
      <c r="G21" s="25" t="n">
        <f aca="false">MAX(G19,G20*G18)</f>
        <v>169.711231933594</v>
      </c>
      <c r="H21" s="25" t="n">
        <f aca="false">MAX(H19,H20*H18)</f>
        <v>173.954012731934</v>
      </c>
      <c r="I21" s="25" t="n">
        <f aca="false">MAX(I19,I20*I18)</f>
        <v>178.302863050232</v>
      </c>
      <c r="J21" s="25" t="n">
        <f aca="false">MAX(J19,J20*J18)</f>
        <v>182.760434626488</v>
      </c>
      <c r="K21" s="25" t="n">
        <f aca="false">MAX(K19,K20*K18)</f>
        <v>187.32944549215</v>
      </c>
    </row>
    <row r="22" customFormat="false" ht="15" hidden="false" customHeight="false" outlineLevel="0" collapsed="false">
      <c r="A22" s="8" t="s">
        <v>174</v>
      </c>
      <c r="B22" s="6" t="n">
        <f aca="false">Drivers!D$53</f>
        <v>737</v>
      </c>
      <c r="C22" s="25" t="n">
        <f aca="false">C11-C21+C13-C12-C14-C15-C16-C17</f>
        <v>133.88175</v>
      </c>
      <c r="D22" s="25" t="n">
        <f aca="false">D11-D21+D13-D12-D14-D15-D16-D17</f>
        <v>133.0466225</v>
      </c>
      <c r="E22" s="25" t="n">
        <f aca="false">E11-E21+E13-E12-E14-E15-E16-E17</f>
        <v>140.350746225</v>
      </c>
      <c r="F22" s="25" t="n">
        <f aca="false">F11-F21+F13-F12-F14-F15-F16-F17</f>
        <v>130.83398087475</v>
      </c>
      <c r="G22" s="25" t="n">
        <f aca="false">G11-G21+G13-G12-G14-G15-G16-G17</f>
        <v>140.338030175685</v>
      </c>
      <c r="H22" s="25" t="n">
        <f aca="false">H11-H21+H13-H12-H14-H15-H16-H17</f>
        <v>176.781507269434</v>
      </c>
      <c r="I22" s="25" t="n">
        <f aca="false">I11-I21+I13-I12-I14-I15-I16-I17</f>
        <v>174.121418835171</v>
      </c>
      <c r="J22" s="25" t="n">
        <f aca="false">J11-J21+J13-J12-J14-J15-J16-J17</f>
        <v>171.833905569515</v>
      </c>
      <c r="K22" s="25" t="n">
        <f aca="false">K11-K21+K13-K12-K14-K15-K16-K17</f>
        <v>169.654610805166</v>
      </c>
    </row>
    <row r="23" customFormat="false" ht="15" hidden="false" customHeight="false" outlineLevel="0" collapsed="false">
      <c r="A23" s="4" t="s">
        <v>175</v>
      </c>
      <c r="B23" s="32" t="n">
        <f aca="false">1/(1+Drivers!$B$21)^B5</f>
        <v>0.978125629185679</v>
      </c>
      <c r="C23" s="32" t="n">
        <f aca="false">1/(1+Drivers!$B$21)^C5</f>
        <v>0.91533180778032</v>
      </c>
      <c r="D23" s="32" t="n">
        <f aca="false">1/(1+Drivers!$B$21)^D5</f>
        <v>0.837832318334389</v>
      </c>
      <c r="E23" s="32" t="n">
        <f aca="false">1/(1+Drivers!$B$21)^E5</f>
        <v>0.766894570557793</v>
      </c>
      <c r="F23" s="32" t="n">
        <f aca="false">1/(1+Drivers!$B$21)^F5</f>
        <v>0.701962993645578</v>
      </c>
      <c r="G23" s="32" t="n">
        <f aca="false">1/(1+Drivers!$B$21)^G5</f>
        <v>0.642529055968492</v>
      </c>
      <c r="H23" s="32" t="n">
        <f aca="false">1/(1+Drivers!$B$21)^H5</f>
        <v>0.588127282351022</v>
      </c>
      <c r="I23" s="32" t="n">
        <f aca="false">1/(1+Drivers!$B$21)^I5</f>
        <v>0.538331608559288</v>
      </c>
      <c r="J23" s="32" t="n">
        <f aca="false">1/(1+Drivers!$B$21)^J5</f>
        <v>0.492752044447861</v>
      </c>
      <c r="K23" s="32" t="n">
        <f aca="false">1/(1+Drivers!$B$21)^K5</f>
        <v>0.451031619631909</v>
      </c>
    </row>
    <row r="24" customFormat="false" ht="15" hidden="false" customHeight="false" outlineLevel="0" collapsed="false">
      <c r="A24" s="4" t="s">
        <v>176</v>
      </c>
      <c r="B24" s="25" t="n">
        <f aca="false">B22*B23</f>
        <v>720.878588709845</v>
      </c>
      <c r="C24" s="25" t="n">
        <f aca="false">C22*C23</f>
        <v>122.546224256293</v>
      </c>
      <c r="D24" s="25" t="n">
        <f aca="false">D22*D23</f>
        <v>111.470760175735</v>
      </c>
      <c r="E24" s="25" t="n">
        <f aca="false">E22*E23</f>
        <v>107.634225253687</v>
      </c>
      <c r="F24" s="25" t="n">
        <f aca="false">F22*F23</f>
        <v>91.8406128854078</v>
      </c>
      <c r="G24" s="25" t="n">
        <f aca="false">G22*G23</f>
        <v>90.1712620452608</v>
      </c>
      <c r="H24" s="25" t="n">
        <f aca="false">H22*H23</f>
        <v>103.97002744029</v>
      </c>
      <c r="I24" s="25" t="n">
        <f aca="false">I22*I23</f>
        <v>93.7350634861629</v>
      </c>
      <c r="J24" s="25" t="n">
        <f aca="false">J22*J23</f>
        <v>84.6715082748393</v>
      </c>
      <c r="K24" s="25" t="n">
        <f aca="false">K22*K23</f>
        <v>76.5195938894752</v>
      </c>
    </row>
    <row r="25" customFormat="false" ht="15" hidden="false" customHeight="false" outlineLevel="0" collapsed="false">
      <c r="A25" s="4" t="s">
        <v>177</v>
      </c>
      <c r="C25" s="25" t="n">
        <f aca="false">C11+C13</f>
        <v>1412.6655</v>
      </c>
      <c r="D25" s="25" t="n">
        <f aca="false">D11+D13</f>
        <v>1426.01409</v>
      </c>
      <c r="E25" s="25" t="n">
        <f aca="false">E11+E13</f>
        <v>1420.96179465</v>
      </c>
      <c r="F25" s="25" t="n">
        <f aca="false">F11+F13</f>
        <v>1424.27414369025</v>
      </c>
      <c r="G25" s="25" t="n">
        <f aca="false">G11+G13</f>
        <v>1431.79617362325</v>
      </c>
      <c r="H25" s="25" t="n">
        <f aca="false">H11+H13</f>
        <v>1441.44990063047</v>
      </c>
      <c r="I25" s="25" t="n">
        <f aca="false">I11+I13</f>
        <v>1452.1958063208</v>
      </c>
      <c r="J25" s="25" t="n">
        <f aca="false">J11+J13</f>
        <v>1463.51357987576</v>
      </c>
      <c r="K25" s="25" t="n">
        <f aca="false">K11+K13</f>
        <v>1475.14248837387</v>
      </c>
    </row>
    <row r="28" customFormat="false" ht="15" hidden="false" customHeight="false" outlineLevel="0" collapsed="false">
      <c r="A28" s="8" t="s">
        <v>178</v>
      </c>
    </row>
    <row r="29" customFormat="false" ht="15" hidden="false" customHeight="false" outlineLevel="0" collapsed="false">
      <c r="A29" s="4" t="s">
        <v>179</v>
      </c>
      <c r="B29" s="5" t="n">
        <f aca="false">Drivers!D$59</f>
        <v>0.01</v>
      </c>
    </row>
    <row r="30" customFormat="false" ht="15" hidden="false" customHeight="false" outlineLevel="0" collapsed="false">
      <c r="A30" s="4" t="s">
        <v>180</v>
      </c>
      <c r="B30" s="5" t="n">
        <f aca="false">Drivers!D$60</f>
        <v>0.07</v>
      </c>
    </row>
    <row r="31" customFormat="false" ht="15" hidden="false" customHeight="false" outlineLevel="0" collapsed="false">
      <c r="A31" s="4" t="s">
        <v>181</v>
      </c>
      <c r="B31" s="25" t="n">
        <f aca="false">K6*(1+B29)</f>
        <v>19180.2320483838</v>
      </c>
    </row>
    <row r="32" customFormat="false" ht="15" hidden="false" customHeight="false" outlineLevel="0" collapsed="false">
      <c r="A32" s="4" t="s">
        <v>182</v>
      </c>
      <c r="B32" s="6" t="n">
        <f aca="false">Drivers!$B$35*(1+Drivers!$B$36)^(2036-2026)</f>
        <v>192.012681629454</v>
      </c>
    </row>
    <row r="33" customFormat="false" ht="15" hidden="false" customHeight="false" outlineLevel="0" collapsed="false">
      <c r="A33" s="4" t="s">
        <v>183</v>
      </c>
      <c r="B33" s="25" t="n">
        <f aca="false">B31*K8-B32</f>
        <v>575.196600305899</v>
      </c>
    </row>
    <row r="34" customFormat="false" ht="15" hidden="false" customHeight="false" outlineLevel="0" collapsed="false">
      <c r="A34" s="4" t="s">
        <v>184</v>
      </c>
      <c r="B34" s="6" t="n">
        <f aca="false">(B33-Drivers!D$58-Drivers!$B$38)*(1-Drivers!$B$42)</f>
        <v>296.549416232483</v>
      </c>
    </row>
    <row r="35" customFormat="false" ht="15" hidden="false" customHeight="false" outlineLevel="0" collapsed="false">
      <c r="A35" s="4" t="s">
        <v>185</v>
      </c>
      <c r="B35" s="6" t="n">
        <f aca="false">B34*(1-B29/B30)/(Drivers!$B$21-B29)</f>
        <v>3081.0328959219</v>
      </c>
    </row>
    <row r="36" customFormat="false" ht="15" hidden="false" customHeight="false" outlineLevel="0" collapsed="false">
      <c r="A36" s="4" t="s">
        <v>186</v>
      </c>
      <c r="B36" s="6" t="n">
        <f aca="false">B35/(1+Drivers!$B$21)^9.5</f>
        <v>1329.51304113195</v>
      </c>
    </row>
    <row r="38" customFormat="false" ht="15" hidden="false" customHeight="false" outlineLevel="0" collapsed="false">
      <c r="A38" s="8" t="s">
        <v>187</v>
      </c>
    </row>
    <row r="39" customFormat="false" ht="15" hidden="false" customHeight="false" outlineLevel="0" collapsed="false">
      <c r="A39" s="4" t="s">
        <v>188</v>
      </c>
      <c r="B39" s="25" t="n">
        <f aca="false">SUM(B24:K24)</f>
        <v>1603.437866417</v>
      </c>
    </row>
    <row r="40" customFormat="false" ht="15" hidden="false" customHeight="false" outlineLevel="0" collapsed="false">
      <c r="A40" s="8" t="s">
        <v>189</v>
      </c>
      <c r="B40" s="25" t="n">
        <f aca="false">B39+B36</f>
        <v>2932.95090754895</v>
      </c>
    </row>
    <row r="41" customFormat="false" ht="15" hidden="false" customHeight="false" outlineLevel="0" collapsed="false">
      <c r="A41" s="4" t="s">
        <v>190</v>
      </c>
      <c r="B41" s="9" t="n">
        <f aca="false">B36/B40</f>
        <v>0.453302180309257</v>
      </c>
    </row>
    <row r="42" customFormat="false" ht="15" hidden="false" customHeight="false" outlineLevel="0" collapsed="false">
      <c r="A42" s="4" t="s">
        <v>191</v>
      </c>
      <c r="B42" s="6" t="n">
        <f aca="false">Drivers!$B$31</f>
        <v>6910</v>
      </c>
    </row>
    <row r="43" customFormat="false" ht="15" hidden="false" customHeight="false" outlineLevel="0" collapsed="false">
      <c r="A43" s="4" t="s">
        <v>192</v>
      </c>
      <c r="B43" s="25" t="n">
        <f aca="false">B40-B42</f>
        <v>-3977.04909245105</v>
      </c>
    </row>
    <row r="44" customFormat="false" ht="15" hidden="false" customHeight="false" outlineLevel="0" collapsed="false">
      <c r="A44" s="4" t="s">
        <v>193</v>
      </c>
      <c r="B44" s="6" t="n">
        <f aca="false">MAX(B43,0)*Drivers!$B$22</f>
        <v>0</v>
      </c>
    </row>
    <row r="45" customFormat="false" ht="15" hidden="false" customHeight="false" outlineLevel="0" collapsed="false">
      <c r="A45" s="8" t="s">
        <v>56</v>
      </c>
      <c r="B45" s="33" t="n">
        <f aca="false">B44/Drivers!$B$5</f>
        <v>0</v>
      </c>
    </row>
    <row r="46" customFormat="false" ht="15" hidden="false" customHeight="false" outlineLevel="0" collapsed="false">
      <c r="A46" s="4" t="s">
        <v>194</v>
      </c>
      <c r="B46" s="34" t="n">
        <f aca="false">B35/(K25*(1+B29))</f>
        <v>2.06795454931776</v>
      </c>
    </row>
    <row r="48" customFormat="false" ht="15" hidden="false" customHeight="false" outlineLevel="0" collapsed="false">
      <c r="A48" s="8" t="s">
        <v>195</v>
      </c>
    </row>
    <row r="49" customFormat="false" ht="15" hidden="false" customHeight="false" outlineLevel="0" collapsed="false">
      <c r="A49" s="4" t="s">
        <v>196</v>
      </c>
      <c r="B49" s="6" t="n">
        <f aca="false">Drivers!$B$27-(B22-Drivers!$B$44)</f>
        <v>5817</v>
      </c>
      <c r="C49" s="25" t="n">
        <f aca="false">B49-C52</f>
        <v>6103.13925</v>
      </c>
      <c r="D49" s="25" t="n">
        <f aca="false">C49-D52</f>
        <v>6408.14040025</v>
      </c>
      <c r="E49" s="25" t="n">
        <f aca="false">D49-E52</f>
        <v>6725.05249924075</v>
      </c>
      <c r="F49" s="25" t="n">
        <f aca="false">E49-F52</f>
        <v>7071.44682581817</v>
      </c>
      <c r="G49" s="25" t="n">
        <f aca="false">F49-G52</f>
        <v>7430.15994566903</v>
      </c>
      <c r="H49" s="25" t="n">
        <f aca="false">G49-H52</f>
        <v>7775.02851497674</v>
      </c>
      <c r="I49" s="25" t="n">
        <f aca="false">H49-I52</f>
        <v>8144.28389258511</v>
      </c>
      <c r="J49" s="25" t="n">
        <f aca="false">I49-J52</f>
        <v>8539.08987224845</v>
      </c>
      <c r="K49" s="25" t="n">
        <f aca="false">J49-K52</f>
        <v>8960.94792339494</v>
      </c>
    </row>
    <row r="50" customFormat="false" ht="15" hidden="false" customHeight="false" outlineLevel="0" collapsed="false">
      <c r="A50" s="4" t="s">
        <v>197</v>
      </c>
      <c r="C50" s="25" t="n">
        <f aca="false">0.063*(B49+850)</f>
        <v>420.021</v>
      </c>
      <c r="D50" s="25" t="n">
        <f aca="false">0.063*(C49+850)</f>
        <v>438.04777275</v>
      </c>
      <c r="E50" s="25" t="n">
        <f aca="false">0.063*(D49+850)</f>
        <v>457.26284521575</v>
      </c>
      <c r="F50" s="25" t="n">
        <f aca="false">0.063*(E49+850)</f>
        <v>477.228307452167</v>
      </c>
      <c r="G50" s="25" t="n">
        <f aca="false">0.063*(F49+850)</f>
        <v>499.051150026545</v>
      </c>
      <c r="H50" s="25" t="n">
        <f aca="false">0.063*(G49+850)</f>
        <v>521.650076577149</v>
      </c>
      <c r="I50" s="25" t="n">
        <f aca="false">0.063*(H49+850)</f>
        <v>543.376796443535</v>
      </c>
      <c r="J50" s="25" t="n">
        <f aca="false">0.063*(I49+850)</f>
        <v>566.639885232862</v>
      </c>
      <c r="K50" s="25" t="n">
        <f aca="false">0.063*(J49+850)</f>
        <v>591.512661951653</v>
      </c>
    </row>
    <row r="51" customFormat="false" ht="15" hidden="false" customHeight="false" outlineLevel="0" collapsed="false">
      <c r="A51" s="4" t="s">
        <v>198</v>
      </c>
      <c r="C51" s="34" t="n">
        <f aca="false">IF(C25&gt;0,C49/C25,99)</f>
        <v>4.32030034710977</v>
      </c>
      <c r="D51" s="34" t="n">
        <f aca="false">IF(D25&gt;0,D49/D25,99)</f>
        <v>4.49374269524223</v>
      </c>
      <c r="E51" s="34" t="n">
        <f aca="false">IF(E25&gt;0,E49/E25,99)</f>
        <v>4.73274687930453</v>
      </c>
      <c r="F51" s="34" t="n">
        <f aca="false">IF(F25&gt;0,F49/F25,99)</f>
        <v>4.96494783475902</v>
      </c>
      <c r="G51" s="34" t="n">
        <f aca="false">IF(G25&gt;0,G49/G25,99)</f>
        <v>5.1893978225033</v>
      </c>
      <c r="H51" s="34" t="n">
        <f aca="false">IF(H25&gt;0,H49/H25,99)</f>
        <v>5.39389437785942</v>
      </c>
      <c r="I51" s="34" t="n">
        <f aca="false">IF(I25&gt;0,I49/I25,99)</f>
        <v>5.60825465624983</v>
      </c>
      <c r="J51" s="34" t="n">
        <f aca="false">IF(J25&gt;0,J49/J25,99)</f>
        <v>5.83465024832457</v>
      </c>
      <c r="K51" s="34" t="n">
        <f aca="false">IF(K25&gt;0,K49/K25,99)</f>
        <v>6.0746321077587</v>
      </c>
    </row>
    <row r="52" customFormat="false" ht="15" hidden="false" customHeight="false" outlineLevel="0" collapsed="false">
      <c r="A52" s="4" t="s">
        <v>199</v>
      </c>
      <c r="C52" s="25" t="n">
        <f aca="false">C22-C50</f>
        <v>-286.13925</v>
      </c>
      <c r="D52" s="25" t="n">
        <f aca="false">D22-D50</f>
        <v>-305.00115025</v>
      </c>
      <c r="E52" s="25" t="n">
        <f aca="false">E22-E50</f>
        <v>-316.91209899075</v>
      </c>
      <c r="F52" s="25" t="n">
        <f aca="false">F22-F50</f>
        <v>-346.394326577417</v>
      </c>
      <c r="G52" s="25" t="n">
        <f aca="false">G22-G50</f>
        <v>-358.713119850859</v>
      </c>
      <c r="H52" s="25" t="n">
        <f aca="false">H22-H50</f>
        <v>-344.868569307715</v>
      </c>
      <c r="I52" s="25" t="n">
        <f aca="false">I22-I50</f>
        <v>-369.255377608364</v>
      </c>
      <c r="J52" s="25" t="n">
        <f aca="false">J22-J50</f>
        <v>-394.805979663347</v>
      </c>
      <c r="K52" s="25" t="n">
        <f aca="false">K22-K50</f>
        <v>-421.858051146487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5" min="2" style="0" width="13"/>
  </cols>
  <sheetData>
    <row r="1" customFormat="false" ht="16.15" hidden="false" customHeight="false" outlineLevel="0" collapsed="false">
      <c r="A1" s="1" t="s">
        <v>202</v>
      </c>
    </row>
    <row r="3" customFormat="false" ht="15" hidden="false" customHeight="false" outlineLevel="0" collapsed="false">
      <c r="A3" s="4" t="s">
        <v>203</v>
      </c>
      <c r="B3" s="11" t="n">
        <v>0.06</v>
      </c>
    </row>
    <row r="4" customFormat="false" ht="15" hidden="false" customHeight="false" outlineLevel="0" collapsed="false">
      <c r="A4" s="4" t="s">
        <v>204</v>
      </c>
      <c r="B4" s="24" t="n">
        <v>17600</v>
      </c>
    </row>
    <row r="5" customFormat="false" ht="15" hidden="false" customHeight="false" outlineLevel="0" collapsed="false">
      <c r="A5" s="4" t="s">
        <v>205</v>
      </c>
      <c r="B5" s="24" t="n">
        <v>100</v>
      </c>
    </row>
    <row r="6" customFormat="false" ht="15" hidden="false" customHeight="false" outlineLevel="0" collapsed="false">
      <c r="A6" s="4" t="s">
        <v>206</v>
      </c>
      <c r="B6" s="16" t="n">
        <v>0.23</v>
      </c>
    </row>
    <row r="7" customFormat="false" ht="15" hidden="false" customHeight="false" outlineLevel="0" collapsed="false">
      <c r="A7" s="4" t="s">
        <v>207</v>
      </c>
      <c r="B7" s="6" t="n">
        <f aca="false">Drivers!$B$35*(1+Drivers!$B$36)</f>
        <v>153.75</v>
      </c>
    </row>
    <row r="9" customFormat="false" ht="15" hidden="false" customHeight="false" outlineLevel="0" collapsed="false">
      <c r="A9" s="3" t="s">
        <v>208</v>
      </c>
      <c r="B9" s="3" t="s">
        <v>209</v>
      </c>
      <c r="C9" s="3" t="s">
        <v>210</v>
      </c>
      <c r="D9" s="3" t="s">
        <v>211</v>
      </c>
      <c r="E9" s="3" t="s">
        <v>212</v>
      </c>
      <c r="F9" s="3" t="s">
        <v>213</v>
      </c>
    </row>
    <row r="10" customFormat="false" ht="15" hidden="false" customHeight="false" outlineLevel="0" collapsed="false">
      <c r="A10" s="4" t="s">
        <v>153</v>
      </c>
      <c r="B10" s="16" t="n">
        <v>0.05</v>
      </c>
      <c r="C10" s="16" t="n">
        <v>0.055</v>
      </c>
      <c r="D10" s="9" t="n">
        <f aca="false">B3</f>
        <v>0.06</v>
      </c>
      <c r="E10" s="16" t="n">
        <v>0.065</v>
      </c>
      <c r="F10" s="16" t="n">
        <v>0.07</v>
      </c>
    </row>
    <row r="11" customFormat="false" ht="15" hidden="false" customHeight="false" outlineLevel="0" collapsed="false">
      <c r="A11" s="4" t="s">
        <v>214</v>
      </c>
      <c r="B11" s="6" t="n">
        <f aca="false">B10*$B$4-$B$7-$B$5-Drivers!$B$38</f>
        <v>591.25</v>
      </c>
      <c r="C11" s="6" t="n">
        <f aca="false">C10*$B$4-$B$7-$B$5-Drivers!$B$38</f>
        <v>679.25</v>
      </c>
      <c r="D11" s="6" t="n">
        <f aca="false">D10*$B$4-$B$7-$B$5-Drivers!$B$38</f>
        <v>767.25</v>
      </c>
      <c r="E11" s="6" t="n">
        <f aca="false">E10*$B$4-$B$7-$B$5-Drivers!$B$38</f>
        <v>855.25</v>
      </c>
      <c r="F11" s="6" t="n">
        <f aca="false">F10*$B$4-$B$7-$B$5-Drivers!$B$38</f>
        <v>943.25</v>
      </c>
    </row>
    <row r="12" customFormat="false" ht="15" hidden="false" customHeight="false" outlineLevel="0" collapsed="false">
      <c r="A12" s="4" t="s">
        <v>215</v>
      </c>
      <c r="B12" s="25" t="n">
        <f aca="false">B11*(1-$B$6)</f>
        <v>455.2625</v>
      </c>
      <c r="C12" s="25" t="n">
        <f aca="false">C11*(1-$B$6)</f>
        <v>523.0225</v>
      </c>
      <c r="D12" s="25" t="n">
        <f aca="false">D11*(1-$B$6)</f>
        <v>590.7825</v>
      </c>
      <c r="E12" s="25" t="n">
        <f aca="false">E11*(1-$B$6)</f>
        <v>658.5425</v>
      </c>
      <c r="F12" s="25" t="n">
        <f aca="false">F11*(1-$B$6)</f>
        <v>726.3025</v>
      </c>
    </row>
    <row r="13" customFormat="false" ht="15" hidden="false" customHeight="false" outlineLevel="0" collapsed="false">
      <c r="A13" s="4" t="s">
        <v>216</v>
      </c>
      <c r="B13" s="6" t="n">
        <f aca="false">B12/Drivers!$B$21</f>
        <v>4921.75675675676</v>
      </c>
      <c r="C13" s="6" t="n">
        <f aca="false">C12/Drivers!$B$21</f>
        <v>5654.2972972973</v>
      </c>
      <c r="D13" s="6" t="n">
        <f aca="false">D12/Drivers!$B$21</f>
        <v>6386.83783783784</v>
      </c>
      <c r="E13" s="6" t="n">
        <f aca="false">E12/Drivers!$B$21</f>
        <v>7119.37837837838</v>
      </c>
      <c r="F13" s="6" t="n">
        <f aca="false">F12/Drivers!$B$21</f>
        <v>7851.91891891892</v>
      </c>
    </row>
    <row r="14" customFormat="false" ht="15" hidden="false" customHeight="false" outlineLevel="0" collapsed="false">
      <c r="A14" s="4" t="s">
        <v>217</v>
      </c>
      <c r="B14" s="6" t="n">
        <f aca="false">B13/(1+Drivers!$B$21)^0.5+Drivers!$C$53/(1+Drivers!$B$21)^0.25</f>
        <v>5551.93538643637</v>
      </c>
      <c r="C14" s="6" t="n">
        <f aca="false">C13/(1+Drivers!$B$21)^0.5+Drivers!$C$53/(1+Drivers!$B$21)^0.25</f>
        <v>6252.77871206663</v>
      </c>
      <c r="D14" s="6" t="n">
        <f aca="false">D13/(1+Drivers!$B$21)^0.5+Drivers!$C$53/(1+Drivers!$B$21)^0.25</f>
        <v>6953.62203769689</v>
      </c>
      <c r="E14" s="6" t="n">
        <f aca="false">E13/(1+Drivers!$B$21)^0.5+Drivers!$C$53/(1+Drivers!$B$21)^0.25</f>
        <v>7654.46536332715</v>
      </c>
      <c r="F14" s="6" t="n">
        <f aca="false">F13/(1+Drivers!$B$21)^0.5+Drivers!$C$53/(1+Drivers!$B$21)^0.25</f>
        <v>8355.30868895741</v>
      </c>
    </row>
    <row r="15" customFormat="false" ht="15" hidden="false" customHeight="false" outlineLevel="0" collapsed="false">
      <c r="A15" s="4" t="s">
        <v>218</v>
      </c>
      <c r="B15" s="6" t="n">
        <f aca="false">B14-Drivers!$B$31</f>
        <v>-1358.06461356364</v>
      </c>
      <c r="C15" s="6" t="n">
        <f aca="false">C14-Drivers!$B$31</f>
        <v>-657.221287933375</v>
      </c>
      <c r="D15" s="6" t="n">
        <f aca="false">D14-Drivers!$B$31</f>
        <v>43.6220376968859</v>
      </c>
      <c r="E15" s="6" t="n">
        <f aca="false">E14-Drivers!$B$31</f>
        <v>744.465363327146</v>
      </c>
      <c r="F15" s="6" t="n">
        <f aca="false">F14-Drivers!$B$31</f>
        <v>1445.30868895741</v>
      </c>
    </row>
    <row r="16" customFormat="false" ht="15" hidden="false" customHeight="false" outlineLevel="0" collapsed="false">
      <c r="A16" s="4" t="s">
        <v>219</v>
      </c>
      <c r="B16" s="7" t="n">
        <f aca="false">MAX(B15,0)*Drivers!$B$22/Drivers!$B$5</f>
        <v>0</v>
      </c>
      <c r="C16" s="7" t="n">
        <f aca="false">MAX(C15,0)*Drivers!$B$22/Drivers!$B$5</f>
        <v>0</v>
      </c>
      <c r="D16" s="7" t="n">
        <f aca="false">MAX(D15,0)*Drivers!$B$22/Drivers!$B$5</f>
        <v>0.154477075168499</v>
      </c>
      <c r="E16" s="7" t="n">
        <f aca="false">MAX(E15,0)*Drivers!$B$22/Drivers!$B$5</f>
        <v>2.63634708424549</v>
      </c>
      <c r="F16" s="7" t="n">
        <f aca="false">MAX(F15,0)*Drivers!$B$22/Drivers!$B$5</f>
        <v>5.11821709332248</v>
      </c>
    </row>
    <row r="18" customFormat="false" ht="15" hidden="false" customHeight="false" outlineLevel="0" collapsed="false">
      <c r="A18" s="4" t="s">
        <v>220</v>
      </c>
      <c r="B18" s="6" t="n">
        <f aca="false">DCF_Base!B40-D14</f>
        <v>521.649285392477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5" min="2" style="0" width="13"/>
  </cols>
  <sheetData>
    <row r="1" customFormat="false" ht="16.15" hidden="false" customHeight="false" outlineLevel="0" collapsed="false">
      <c r="A1" s="1" t="s">
        <v>221</v>
      </c>
    </row>
    <row r="3" customFormat="false" ht="15" hidden="false" customHeight="false" outlineLevel="0" collapsed="false">
      <c r="A3" s="4" t="s">
        <v>222</v>
      </c>
      <c r="B3" s="6" t="n">
        <f aca="false">Drivers!B52*DCF_Bull!B40+Drivers!C52*DCF_Base!B40+Drivers!D52*DCF_Bear!B40+Drivers!B62*0.9*DCF_Bear!B40</f>
        <v>6260.46410501117</v>
      </c>
    </row>
    <row r="4" customFormat="false" ht="15" hidden="false" customHeight="false" outlineLevel="0" collapsed="false">
      <c r="A4" s="4" t="s">
        <v>223</v>
      </c>
      <c r="B4" s="6" t="n">
        <f aca="false">B3+Drivers!B26</f>
        <v>7121.46410501117</v>
      </c>
    </row>
    <row r="5" customFormat="false" ht="15" hidden="false" customHeight="false" outlineLevel="0" collapsed="false">
      <c r="A5" s="4" t="s">
        <v>224</v>
      </c>
      <c r="B5" s="6" t="n">
        <f aca="false">Drivers!B25+Drivers!B28+Drivers!B29+Drivers!B30</f>
        <v>7771</v>
      </c>
    </row>
    <row r="6" customFormat="false" ht="15" hidden="false" customHeight="false" outlineLevel="0" collapsed="false">
      <c r="A6" s="4" t="s">
        <v>225</v>
      </c>
      <c r="B6" s="16" t="n">
        <v>0.063</v>
      </c>
    </row>
    <row r="7" customFormat="false" ht="15" hidden="false" customHeight="false" outlineLevel="0" collapsed="false">
      <c r="A7" s="4" t="s">
        <v>226</v>
      </c>
      <c r="B7" s="16" t="n">
        <v>0.047</v>
      </c>
    </row>
    <row r="8" customFormat="false" ht="15" hidden="false" customHeight="false" outlineLevel="0" collapsed="false">
      <c r="A8" s="4" t="s">
        <v>227</v>
      </c>
      <c r="B8" s="11" t="n">
        <v>0.22</v>
      </c>
    </row>
    <row r="9" customFormat="false" ht="15" hidden="false" customHeight="false" outlineLevel="0" collapsed="false">
      <c r="A9" s="4" t="s">
        <v>228</v>
      </c>
      <c r="B9" s="35" t="n">
        <v>5</v>
      </c>
    </row>
    <row r="10" customFormat="false" ht="15" hidden="false" customHeight="false" outlineLevel="0" collapsed="false">
      <c r="A10" s="4" t="s">
        <v>229</v>
      </c>
      <c r="B10" s="25" t="n">
        <f aca="false">B5*EXP((B6-B7)*B9)</f>
        <v>8418.2238029021</v>
      </c>
    </row>
    <row r="11" customFormat="false" ht="15" hidden="false" customHeight="false" outlineLevel="0" collapsed="false">
      <c r="A11" s="4" t="s">
        <v>230</v>
      </c>
      <c r="B11" s="36" t="n">
        <f aca="false">(LN(B4/B10)+(B7+0.5*B8^2)*B9)/(B8*SQRT(B9))</f>
        <v>0.383616733973281</v>
      </c>
    </row>
    <row r="12" customFormat="false" ht="15" hidden="false" customHeight="false" outlineLevel="0" collapsed="false">
      <c r="A12" s="4" t="s">
        <v>231</v>
      </c>
      <c r="B12" s="36" t="n">
        <f aca="false">B11-B8*SQRT(B9)</f>
        <v>-0.108318221076673</v>
      </c>
    </row>
    <row r="13" customFormat="false" ht="15" hidden="false" customHeight="false" outlineLevel="0" collapsed="false">
      <c r="A13" s="4" t="s">
        <v>232</v>
      </c>
      <c r="B13" s="25" t="n">
        <f aca="false">B4*NORMSDIST(B11)-B10*EXP(-B7*B9)*NORMSDIST(B12)</f>
        <v>1583.88294413366</v>
      </c>
    </row>
    <row r="14" customFormat="false" ht="15" hidden="false" customHeight="false" outlineLevel="0" collapsed="false">
      <c r="A14" s="4" t="s">
        <v>233</v>
      </c>
      <c r="B14" s="33" t="n">
        <f aca="false">B13*Drivers!B22/Drivers!B5</f>
        <v>5.60894487137876</v>
      </c>
    </row>
    <row r="15" customFormat="false" ht="15" hidden="false" customHeight="false" outlineLevel="0" collapsed="false">
      <c r="A15" s="4" t="s">
        <v>234</v>
      </c>
      <c r="B15" s="9" t="n">
        <f aca="false">NORMSDIST(-B12)</f>
        <v>0.543128365337388</v>
      </c>
    </row>
    <row r="17" customFormat="false" ht="15" hidden="false" customHeight="false" outlineLevel="0" collapsed="false">
      <c r="A17" s="8" t="s">
        <v>235</v>
      </c>
    </row>
    <row r="18" customFormat="false" ht="15" hidden="false" customHeight="false" outlineLevel="0" collapsed="false">
      <c r="A18" s="3"/>
      <c r="B18" s="3" t="s">
        <v>18</v>
      </c>
      <c r="C18" s="3" t="s">
        <v>17</v>
      </c>
      <c r="D18" s="3" t="s">
        <v>16</v>
      </c>
    </row>
    <row r="19" customFormat="false" ht="15" hidden="false" customHeight="false" outlineLevel="0" collapsed="false">
      <c r="A19" s="4" t="s">
        <v>236</v>
      </c>
      <c r="B19" s="6" t="n">
        <f aca="false">DCF_Bear!B40+Drivers!$B$26</f>
        <v>3793.95090754895</v>
      </c>
      <c r="C19" s="6" t="n">
        <f aca="false">DCF_Base!B40+Drivers!$B$26</f>
        <v>8336.27132308936</v>
      </c>
      <c r="D19" s="6" t="n">
        <f aca="false">DCF_Bull!B40+Drivers!$B$26</f>
        <v>12585.0470499464</v>
      </c>
    </row>
    <row r="20" customFormat="false" ht="15" hidden="false" customHeight="false" outlineLevel="0" collapsed="false">
      <c r="A20" s="4" t="s">
        <v>230</v>
      </c>
      <c r="B20" s="36" t="n">
        <f aca="false">(LN(B19/$B$10)+($B$7+0.5*$B$8^2)*$B$9)/($B$8*SQRT($B$9))</f>
        <v>-0.896441531076134</v>
      </c>
      <c r="C20" s="36" t="n">
        <f aca="false">(LN(C19/$B$10)+($B$7+0.5*$B$8^2)*$B$9)/($B$8*SQRT($B$9))</f>
        <v>0.703786492615295</v>
      </c>
      <c r="D20" s="36" t="n">
        <f aca="false">(LN(D19/$B$10)+($B$7+0.5*$B$8^2)*$B$9)/($B$8*SQRT($B$9))</f>
        <v>1.54107876080816</v>
      </c>
    </row>
    <row r="21" customFormat="false" ht="15" hidden="false" customHeight="false" outlineLevel="0" collapsed="false">
      <c r="A21" s="4" t="s">
        <v>237</v>
      </c>
      <c r="B21" s="7" t="n">
        <f aca="false">(B19*NORMSDIST(B20)-$B$10*EXP(-$B$7*$B$9)*NORMSDIST(B20-$B$8*SQRT($B$9)))*Drivers!$B$22/Drivers!$B$5</f>
        <v>0.541049329249983</v>
      </c>
      <c r="C21" s="7" t="n">
        <f aca="false">(C19*NORMSDIST(C20)-$B$10*EXP(-$B$7*$B$9)*NORMSDIST(C20-$B$8*SQRT($B$9)))*Drivers!$B$22/Drivers!$B$5</f>
        <v>8.65181141224126</v>
      </c>
      <c r="D21" s="7" t="n">
        <f aca="false">(D19*NORMSDIST(D20)-$B$10*EXP(-$B$7*$B$9)*NORMSDIST(D20-$B$8*SQRT($B$9)))*Drivers!$B$22/Drivers!$B$5</f>
        <v>21.7174237875565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1" min="2" style="0" width="13"/>
    <col collapsed="false" customWidth="true" hidden="false" outlineLevel="0" max="12" min="12" style="0" width="60"/>
    <col collapsed="false" customWidth="true" hidden="false" outlineLevel="0" max="15" min="13" style="0" width="13"/>
  </cols>
  <sheetData>
    <row r="1" customFormat="false" ht="16.15" hidden="false" customHeight="false" outlineLevel="0" collapsed="false">
      <c r="A1" s="1" t="s">
        <v>238</v>
      </c>
    </row>
    <row r="3" customFormat="false" ht="15" hidden="false" customHeight="false" outlineLevel="0" collapsed="false">
      <c r="A3" s="3" t="s">
        <v>239</v>
      </c>
      <c r="B3" s="3" t="s">
        <v>240</v>
      </c>
      <c r="C3" s="3" t="s">
        <v>241</v>
      </c>
      <c r="D3" s="3" t="s">
        <v>242</v>
      </c>
      <c r="E3" s="3" t="s">
        <v>243</v>
      </c>
      <c r="F3" s="3" t="s">
        <v>244</v>
      </c>
      <c r="G3" s="3" t="s">
        <v>245</v>
      </c>
      <c r="H3" s="3" t="s">
        <v>246</v>
      </c>
      <c r="I3" s="3" t="s">
        <v>247</v>
      </c>
      <c r="J3" s="3" t="s">
        <v>248</v>
      </c>
      <c r="K3" s="3" t="s">
        <v>249</v>
      </c>
      <c r="L3" s="3" t="s">
        <v>250</v>
      </c>
    </row>
    <row r="4" customFormat="false" ht="15" hidden="false" customHeight="false" outlineLevel="0" collapsed="false">
      <c r="A4" s="4" t="s">
        <v>251</v>
      </c>
      <c r="B4" s="4" t="s">
        <v>252</v>
      </c>
      <c r="C4" s="37" t="n">
        <v>1.07571626430938</v>
      </c>
      <c r="D4" s="38" t="n">
        <v>5.60495590002031</v>
      </c>
      <c r="E4" s="38" t="n">
        <v>9.98668038212088</v>
      </c>
      <c r="F4" s="38" t="n">
        <v>14.4142214573946</v>
      </c>
      <c r="G4" s="37" t="n">
        <v>1.30821326798035</v>
      </c>
      <c r="H4" s="16" t="n">
        <v>0.191922342208881</v>
      </c>
      <c r="I4" s="16" t="n">
        <v>0.107715098826557</v>
      </c>
      <c r="J4" s="16" t="n">
        <v>0.112303576548491</v>
      </c>
      <c r="K4" s="38" t="n">
        <v>0.951249238269348</v>
      </c>
      <c r="L4" s="4" t="s">
        <v>253</v>
      </c>
    </row>
    <row r="5" customFormat="false" ht="15" hidden="false" customHeight="false" outlineLevel="0" collapsed="false">
      <c r="A5" s="4" t="s">
        <v>254</v>
      </c>
      <c r="B5" s="4" t="s">
        <v>252</v>
      </c>
      <c r="C5" s="37" t="n">
        <v>1.06892019368384</v>
      </c>
      <c r="D5" s="38" t="n">
        <v>5.6341979468743</v>
      </c>
      <c r="E5" s="38" t="n">
        <v>9.96837950087327</v>
      </c>
      <c r="F5" s="38" t="n">
        <v>11.4805978695531</v>
      </c>
      <c r="G5" s="37" t="n">
        <v>1.26898606577918</v>
      </c>
      <c r="H5" s="16" t="n">
        <v>0.189720028256523</v>
      </c>
      <c r="I5" s="16" t="n">
        <v>0.107231089425337</v>
      </c>
      <c r="J5" s="16" t="n">
        <v>0.101297741787115</v>
      </c>
      <c r="K5" s="38" t="n">
        <v>0.11167621222529</v>
      </c>
      <c r="L5" s="4" t="s">
        <v>255</v>
      </c>
    </row>
    <row r="6" customFormat="false" ht="15" hidden="false" customHeight="false" outlineLevel="0" collapsed="false">
      <c r="A6" s="4" t="s">
        <v>256</v>
      </c>
      <c r="B6" s="4" t="s">
        <v>252</v>
      </c>
      <c r="C6" s="37" t="n">
        <v>1.05641311862875</v>
      </c>
      <c r="D6" s="38" t="n">
        <v>5.81521732796957</v>
      </c>
      <c r="E6" s="38" t="n">
        <v>11.5965069002334</v>
      </c>
      <c r="F6" s="34"/>
      <c r="G6" s="37" t="n">
        <v>3.28424864992861</v>
      </c>
      <c r="H6" s="16" t="n">
        <v>0.181663566303481</v>
      </c>
      <c r="I6" s="16" t="n">
        <v>0.0910975285676322</v>
      </c>
      <c r="J6" s="16" t="n">
        <v>0.0474266722935829</v>
      </c>
      <c r="K6" s="38" t="n">
        <v>1.72381509654769</v>
      </c>
      <c r="L6" s="4" t="s">
        <v>257</v>
      </c>
    </row>
    <row r="7" customFormat="false" ht="15" hidden="false" customHeight="false" outlineLevel="0" collapsed="false">
      <c r="A7" s="4" t="s">
        <v>258</v>
      </c>
      <c r="B7" s="4" t="s">
        <v>252</v>
      </c>
      <c r="C7" s="37" t="n">
        <v>1.3692266055573</v>
      </c>
      <c r="D7" s="38" t="n">
        <v>6.19214690531397</v>
      </c>
      <c r="E7" s="38" t="n">
        <v>12.8935321830102</v>
      </c>
      <c r="F7" s="38" t="n">
        <v>13.412129858229</v>
      </c>
      <c r="G7" s="37" t="n">
        <v>1.09902767422981</v>
      </c>
      <c r="H7" s="16" t="n">
        <v>0.221123081621701</v>
      </c>
      <c r="I7" s="16" t="n">
        <v>0.106194841423015</v>
      </c>
      <c r="J7" s="16" t="n">
        <v>0.0951874161115826</v>
      </c>
      <c r="K7" s="38" t="n">
        <v>1.36037614019891</v>
      </c>
      <c r="L7" s="4" t="s">
        <v>259</v>
      </c>
    </row>
    <row r="8" customFormat="false" ht="15" hidden="false" customHeight="false" outlineLevel="0" collapsed="false">
      <c r="A8" s="4" t="s">
        <v>260</v>
      </c>
      <c r="B8" s="4" t="s">
        <v>252</v>
      </c>
      <c r="C8" s="37" t="n">
        <v>1.20705259499133</v>
      </c>
      <c r="D8" s="38" t="n">
        <v>5.04335885251116</v>
      </c>
      <c r="E8" s="38" t="n">
        <v>7.52529677997709</v>
      </c>
      <c r="F8" s="38" t="n">
        <v>7.73669943110481</v>
      </c>
      <c r="G8" s="37" t="n">
        <v>0.980259312859806</v>
      </c>
      <c r="H8" s="16" t="n">
        <v>0.23933506028236</v>
      </c>
      <c r="I8" s="16" t="n">
        <v>0.160399334442596</v>
      </c>
      <c r="J8" s="16" t="n">
        <v>0.103628444902662</v>
      </c>
      <c r="K8" s="38" t="n">
        <v>1.45900327767311</v>
      </c>
      <c r="L8" s="4" t="s">
        <v>261</v>
      </c>
    </row>
    <row r="9" customFormat="false" ht="15" hidden="false" customHeight="false" outlineLevel="0" collapsed="false">
      <c r="A9" s="4" t="s">
        <v>262</v>
      </c>
      <c r="B9" s="4" t="s">
        <v>252</v>
      </c>
      <c r="C9" s="37" t="n">
        <v>0.914762571502913</v>
      </c>
      <c r="D9" s="38" t="n">
        <v>4.05635599589099</v>
      </c>
      <c r="E9" s="38" t="n">
        <v>6.2873026517751</v>
      </c>
      <c r="F9" s="38" t="n">
        <v>9.98293382672472</v>
      </c>
      <c r="G9" s="37" t="n">
        <v>1.08425489745805</v>
      </c>
      <c r="H9" s="16" t="n">
        <v>0.22551338502576</v>
      </c>
      <c r="I9" s="16" t="n">
        <v>0.145493643644568</v>
      </c>
      <c r="J9" s="16" t="n">
        <v>0.139388751962474</v>
      </c>
      <c r="K9" s="38" t="n">
        <v>-0.381527330112626</v>
      </c>
      <c r="L9" s="4" t="s">
        <v>263</v>
      </c>
    </row>
    <row r="10" customFormat="false" ht="15" hidden="false" customHeight="false" outlineLevel="0" collapsed="false">
      <c r="A10" s="4" t="s">
        <v>264</v>
      </c>
      <c r="B10" s="4" t="s">
        <v>252</v>
      </c>
      <c r="C10" s="37" t="n">
        <v>0.639610536130349</v>
      </c>
      <c r="D10" s="38" t="n">
        <v>4.40253396252345</v>
      </c>
      <c r="E10" s="38" t="n">
        <v>9.68344645839097</v>
      </c>
      <c r="F10" s="38" t="n">
        <v>4.03815503189963</v>
      </c>
      <c r="G10" s="37" t="n">
        <v>0.709527274270062</v>
      </c>
      <c r="H10" s="16" t="n">
        <v>0.145282362742691</v>
      </c>
      <c r="I10" s="16" t="n">
        <v>0.0660519515317926</v>
      </c>
      <c r="J10" s="16" t="n">
        <v>0.0413540688271097</v>
      </c>
      <c r="K10" s="38" t="n">
        <v>1.35415104711911</v>
      </c>
      <c r="L10" s="4" t="s">
        <v>265</v>
      </c>
    </row>
    <row r="11" customFormat="false" ht="15" hidden="false" customHeight="false" outlineLevel="0" collapsed="false">
      <c r="A11" s="4" t="s">
        <v>266</v>
      </c>
      <c r="B11" s="4" t="s">
        <v>252</v>
      </c>
      <c r="C11" s="37" t="n">
        <v>0.707722042851276</v>
      </c>
      <c r="D11" s="38" t="n">
        <v>3.52678921943399</v>
      </c>
      <c r="E11" s="38" t="n">
        <v>5.7882892116089</v>
      </c>
      <c r="F11" s="38" t="n">
        <v>3.9602291574997</v>
      </c>
      <c r="G11" s="37" t="n">
        <v>0.77907828528198</v>
      </c>
      <c r="H11" s="16" t="n">
        <v>0.20067035448318</v>
      </c>
      <c r="I11" s="16" t="n">
        <v>0.122267913191324</v>
      </c>
      <c r="J11" s="16" t="n">
        <v>0.0902979227807623</v>
      </c>
      <c r="K11" s="38" t="n">
        <v>1.30303186404098</v>
      </c>
      <c r="L11" s="4" t="s">
        <v>267</v>
      </c>
    </row>
    <row r="12" customFormat="false" ht="15" hidden="false" customHeight="false" outlineLevel="0" collapsed="false">
      <c r="A12" s="4" t="s">
        <v>268</v>
      </c>
      <c r="B12" s="4" t="s">
        <v>269</v>
      </c>
      <c r="C12" s="37" t="n">
        <v>2.12618916129578</v>
      </c>
      <c r="D12" s="38" t="n">
        <v>14.4458785121531</v>
      </c>
      <c r="E12" s="38" t="n">
        <v>40.8550556027064</v>
      </c>
      <c r="F12" s="38" t="n">
        <v>113.030185078974</v>
      </c>
      <c r="G12" s="37" t="n">
        <v>1.942784141948</v>
      </c>
      <c r="H12" s="16" t="n">
        <v>0.147183098591549</v>
      </c>
      <c r="I12" s="16" t="n">
        <v>0.0520422535211268</v>
      </c>
      <c r="J12" s="16" t="n">
        <v>0.0237971917228768</v>
      </c>
      <c r="K12" s="38" t="n">
        <v>3.9</v>
      </c>
      <c r="L12" s="4" t="s">
        <v>270</v>
      </c>
    </row>
    <row r="13" customFormat="false" ht="15" hidden="false" customHeight="false" outlineLevel="0" collapsed="false">
      <c r="A13" s="4" t="s">
        <v>271</v>
      </c>
      <c r="B13" s="4" t="s">
        <v>269</v>
      </c>
      <c r="C13" s="37" t="n">
        <v>0.582294414758231</v>
      </c>
      <c r="D13" s="38" t="n">
        <v>4.79342846558591</v>
      </c>
      <c r="E13" s="38" t="n">
        <v>5.79036288577827</v>
      </c>
      <c r="F13" s="38" t="n">
        <v>5.76272772206125</v>
      </c>
      <c r="G13" s="37" t="n">
        <v>0.521009801888887</v>
      </c>
      <c r="H13" s="16" t="n">
        <v>0.121477647771063</v>
      </c>
      <c r="I13" s="16" t="n">
        <v>0.100562680827553</v>
      </c>
      <c r="J13" s="16" t="n">
        <v>0.126675079967635</v>
      </c>
      <c r="K13" s="38" t="n">
        <v>1.31990804271404</v>
      </c>
      <c r="L13" s="4" t="s">
        <v>272</v>
      </c>
    </row>
    <row r="14" customFormat="false" ht="15" hidden="false" customHeight="false" outlineLevel="0" collapsed="false">
      <c r="A14" s="4" t="s">
        <v>273</v>
      </c>
      <c r="B14" s="4" t="s">
        <v>274</v>
      </c>
      <c r="C14" s="37" t="n">
        <v>0.959663807124163</v>
      </c>
      <c r="D14" s="38" t="n">
        <v>6.42897573847965</v>
      </c>
      <c r="E14" s="38" t="n">
        <v>10.4906392793057</v>
      </c>
      <c r="F14" s="38" t="n">
        <v>14.8146985637757</v>
      </c>
      <c r="G14" s="37" t="n">
        <v>1.51416848981168</v>
      </c>
      <c r="H14" s="16" t="n">
        <v>0.149271648573853</v>
      </c>
      <c r="I14" s="16" t="n">
        <v>0.091478105535212</v>
      </c>
      <c r="J14" s="16" t="n">
        <v>0.0937287634616174</v>
      </c>
      <c r="K14" s="38" t="n">
        <v>0.592656169110805</v>
      </c>
      <c r="L14" s="4" t="s">
        <v>275</v>
      </c>
    </row>
    <row r="15" customFormat="false" ht="15" hidden="false" customHeight="false" outlineLevel="0" collapsed="false">
      <c r="A15" s="4" t="s">
        <v>276</v>
      </c>
      <c r="B15" s="4" t="s">
        <v>274</v>
      </c>
      <c r="C15" s="37" t="n">
        <v>1.41917766820563</v>
      </c>
      <c r="D15" s="38" t="n">
        <v>8.02842629497312</v>
      </c>
      <c r="E15" s="38" t="n">
        <v>10.1416147957905</v>
      </c>
      <c r="F15" s="38" t="n">
        <v>11.576614328811</v>
      </c>
      <c r="G15" s="37" t="n">
        <v>1.96742400543988</v>
      </c>
      <c r="H15" s="16" t="n">
        <v>0.176769097213264</v>
      </c>
      <c r="I15" s="16" t="n">
        <v>0.139936065092385</v>
      </c>
      <c r="J15" s="16" t="n">
        <v>0.134744250109242</v>
      </c>
      <c r="K15" s="38" t="n">
        <v>1.34617824785506</v>
      </c>
      <c r="L15" s="4" t="s">
        <v>277</v>
      </c>
    </row>
    <row r="16" customFormat="false" ht="15" hidden="false" customHeight="false" outlineLevel="0" collapsed="false">
      <c r="A16" s="4" t="s">
        <v>278</v>
      </c>
      <c r="B16" s="4" t="s">
        <v>274</v>
      </c>
      <c r="C16" s="37" t="n">
        <v>0.983788125259927</v>
      </c>
      <c r="D16" s="38" t="n">
        <v>7.84202008820411</v>
      </c>
      <c r="E16" s="38" t="n">
        <v>14.898629240416</v>
      </c>
      <c r="F16" s="38" t="n">
        <v>24.7380540414726</v>
      </c>
      <c r="G16" s="37" t="n">
        <v>0.676102950340817</v>
      </c>
      <c r="H16" s="16" t="n">
        <v>0.125450855034117</v>
      </c>
      <c r="I16" s="16" t="n">
        <v>0.0660321234514094</v>
      </c>
      <c r="J16" s="16" t="n">
        <v>0.0794237533890528</v>
      </c>
      <c r="K16" s="38" t="n">
        <v>3.08880220965131</v>
      </c>
      <c r="L16" s="4" t="s">
        <v>279</v>
      </c>
    </row>
    <row r="17" customFormat="false" ht="15" hidden="false" customHeight="false" outlineLevel="0" collapsed="false">
      <c r="A17" s="4" t="s">
        <v>280</v>
      </c>
      <c r="B17" s="4" t="s">
        <v>281</v>
      </c>
      <c r="C17" s="37" t="n">
        <v>0.508110552195784</v>
      </c>
      <c r="D17" s="38" t="n">
        <v>4.57041179461108</v>
      </c>
      <c r="E17" s="38" t="n">
        <v>13.3382789317507</v>
      </c>
      <c r="F17" s="34"/>
      <c r="G17" s="37" t="n">
        <v>0.519901373723142</v>
      </c>
      <c r="H17" s="16" t="n">
        <v>0.111173910586108</v>
      </c>
      <c r="I17" s="16" t="n">
        <v>0.0380941615328096</v>
      </c>
      <c r="J17" s="16" t="n">
        <v>0.050583757320996</v>
      </c>
      <c r="K17" s="38" t="n">
        <v>3.73767158108795</v>
      </c>
      <c r="L17" s="4" t="s">
        <v>282</v>
      </c>
    </row>
    <row r="19" customFormat="false" ht="15" hidden="false" customHeight="false" outlineLevel="0" collapsed="false">
      <c r="A19" s="8" t="s">
        <v>283</v>
      </c>
    </row>
    <row r="20" customFormat="false" ht="15" hidden="false" customHeight="false" outlineLevel="0" collapsed="false">
      <c r="A20" s="3" t="s">
        <v>284</v>
      </c>
      <c r="B20" s="3"/>
      <c r="C20" s="3" t="s">
        <v>241</v>
      </c>
      <c r="D20" s="3" t="s">
        <v>242</v>
      </c>
      <c r="E20" s="3" t="s">
        <v>243</v>
      </c>
      <c r="F20" s="3" t="s">
        <v>244</v>
      </c>
      <c r="G20" s="3" t="s">
        <v>245</v>
      </c>
    </row>
    <row r="21" customFormat="false" ht="15" hidden="false" customHeight="false" outlineLevel="0" collapsed="false">
      <c r="A21" s="4" t="s">
        <v>285</v>
      </c>
      <c r="C21" s="34" t="n">
        <f aca="false">QUARTILE(C4:C11,1)</f>
        <v>0.863002439340004</v>
      </c>
      <c r="D21" s="34" t="n">
        <f aca="false">QUARTILE(D4:D11,1)</f>
        <v>4.31598947086533</v>
      </c>
      <c r="E21" s="34" t="n">
        <f aca="false">QUARTILE(E4:E11,1)</f>
        <v>7.21579824792659</v>
      </c>
      <c r="F21" s="34" t="n">
        <f aca="false">QUARTILE(F4:F11,1)</f>
        <v>5.88742723150222</v>
      </c>
      <c r="G21" s="34" t="n">
        <f aca="false">QUARTILE(G4:G11,1)</f>
        <v>0.92996405596535</v>
      </c>
    </row>
    <row r="22" customFormat="false" ht="15" hidden="false" customHeight="false" outlineLevel="0" collapsed="false">
      <c r="A22" s="4" t="s">
        <v>286</v>
      </c>
      <c r="C22" s="34" t="n">
        <f aca="false">MEDIAN(C4:C11)</f>
        <v>1.0626666561563</v>
      </c>
      <c r="D22" s="34" t="n">
        <f aca="false">MEDIAN(D4:D11)</f>
        <v>5.32415737626574</v>
      </c>
      <c r="E22" s="34" t="n">
        <f aca="false">MEDIAN(E4:E11)</f>
        <v>9.82591297963212</v>
      </c>
      <c r="F22" s="34" t="n">
        <f aca="false">MEDIAN(F4:F11)</f>
        <v>9.98293382672472</v>
      </c>
      <c r="G22" s="34" t="n">
        <f aca="false">MEDIAN(G4:G11)</f>
        <v>1.09164128584393</v>
      </c>
    </row>
    <row r="23" customFormat="false" ht="15" hidden="false" customHeight="false" outlineLevel="0" collapsed="false">
      <c r="A23" s="4" t="s">
        <v>287</v>
      </c>
      <c r="C23" s="34" t="n">
        <f aca="false">QUARTILE(C4:C11,3)</f>
        <v>1.10855034697987</v>
      </c>
      <c r="D23" s="34" t="n">
        <f aca="false">QUARTILE(D4:D11,3)</f>
        <v>5.67945279214812</v>
      </c>
      <c r="E23" s="34" t="n">
        <f aca="false">QUARTILE(E4:E11,3)</f>
        <v>10.389137011649</v>
      </c>
      <c r="F23" s="34" t="n">
        <f aca="false">QUARTILE(F4:F11,3)</f>
        <v>12.446363863891</v>
      </c>
      <c r="G23" s="34" t="n">
        <f aca="false">QUARTILE(G4:G11,3)</f>
        <v>1.27879286632947</v>
      </c>
    </row>
    <row r="24" customFormat="false" ht="15" hidden="false" customHeight="false" outlineLevel="0" collapsed="false">
      <c r="A24" s="4" t="s">
        <v>288</v>
      </c>
      <c r="C24" s="34" t="n">
        <f aca="false">MIN(C4:C11)</f>
        <v>0.639610536130349</v>
      </c>
      <c r="D24" s="34" t="n">
        <f aca="false">MIN(D4:D11)</f>
        <v>3.52678921943399</v>
      </c>
      <c r="E24" s="34" t="n">
        <f aca="false">MIN(E4:E11)</f>
        <v>5.7882892116089</v>
      </c>
      <c r="F24" s="34" t="n">
        <f aca="false">MIN(F4:F11)</f>
        <v>3.9602291574997</v>
      </c>
      <c r="G24" s="34" t="n">
        <f aca="false">MIN(G4:G11)</f>
        <v>0.709527274270062</v>
      </c>
    </row>
    <row r="25" customFormat="false" ht="15" hidden="false" customHeight="false" outlineLevel="0" collapsed="false">
      <c r="A25" s="4" t="s">
        <v>289</v>
      </c>
      <c r="C25" s="34" t="n">
        <f aca="false">MAX(C4:C11)</f>
        <v>1.3692266055573</v>
      </c>
      <c r="D25" s="34" t="n">
        <f aca="false">MAX(D4:D11)</f>
        <v>6.19214690531397</v>
      </c>
      <c r="E25" s="34" t="n">
        <f aca="false">MAX(E4:E11)</f>
        <v>12.8935321830102</v>
      </c>
      <c r="F25" s="34" t="n">
        <f aca="false">MAX(F4:F11)</f>
        <v>14.4142214573946</v>
      </c>
      <c r="G25" s="34" t="n">
        <f aca="false">MAX(G4:G11)</f>
        <v>3.28424864992861</v>
      </c>
    </row>
    <row r="28" customFormat="false" ht="15" hidden="false" customHeight="false" outlineLevel="0" collapsed="false">
      <c r="A28" s="8" t="s">
        <v>290</v>
      </c>
    </row>
    <row r="29" customFormat="false" ht="15" hidden="false" customHeight="false" outlineLevel="0" collapsed="false">
      <c r="A29" s="4" t="s">
        <v>291</v>
      </c>
      <c r="B29" s="6" t="n">
        <f aca="false">DCF_Base!C25</f>
        <v>1636.2</v>
      </c>
    </row>
    <row r="30" customFormat="false" ht="15" hidden="false" customHeight="false" outlineLevel="0" collapsed="false">
      <c r="A30" s="4" t="s">
        <v>292</v>
      </c>
      <c r="B30" s="24" t="n">
        <v>318</v>
      </c>
    </row>
    <row r="31" customFormat="false" ht="15" hidden="false" customHeight="false" outlineLevel="0" collapsed="false">
      <c r="A31" s="4" t="s">
        <v>293</v>
      </c>
      <c r="B31" s="25" t="n">
        <f aca="false">B29+B30</f>
        <v>1954.2</v>
      </c>
    </row>
    <row r="32" customFormat="false" ht="15" hidden="false" customHeight="false" outlineLevel="0" collapsed="false">
      <c r="A32" s="4" t="s">
        <v>294</v>
      </c>
      <c r="B32" s="24" t="n">
        <v>1023</v>
      </c>
    </row>
    <row r="33" customFormat="false" ht="15" hidden="false" customHeight="false" outlineLevel="0" collapsed="false">
      <c r="A33" s="4" t="s">
        <v>295</v>
      </c>
      <c r="B33" s="6" t="n">
        <f aca="false">DCF_Base!C11</f>
        <v>736.2</v>
      </c>
    </row>
    <row r="34" customFormat="false" ht="15" hidden="false" customHeight="false" outlineLevel="0" collapsed="false">
      <c r="A34" s="4" t="s">
        <v>296</v>
      </c>
      <c r="B34" s="6" t="n">
        <f aca="false">Drivers!B31-(Drivers!C53-Drivers!B44)</f>
        <v>6273</v>
      </c>
    </row>
    <row r="35" customFormat="false" ht="15" hidden="false" customHeight="false" outlineLevel="0" collapsed="false">
      <c r="A35" s="4" t="s">
        <v>297</v>
      </c>
      <c r="B35" s="38" t="n">
        <v>4.5</v>
      </c>
    </row>
    <row r="37" customFormat="false" ht="15" hidden="false" customHeight="false" outlineLevel="0" collapsed="false">
      <c r="A37" s="3" t="s">
        <v>21</v>
      </c>
      <c r="B37" s="3" t="s">
        <v>298</v>
      </c>
      <c r="C37" s="3" t="s">
        <v>299</v>
      </c>
      <c r="D37" s="3" t="s">
        <v>12</v>
      </c>
      <c r="E37" s="3" t="s">
        <v>300</v>
      </c>
    </row>
    <row r="38" customFormat="false" ht="15" hidden="false" customHeight="false" outlineLevel="0" collapsed="false">
      <c r="A38" s="4" t="s">
        <v>301</v>
      </c>
      <c r="B38" s="34" t="n">
        <f aca="false">D21</f>
        <v>4.31598947086533</v>
      </c>
      <c r="C38" s="25" t="n">
        <f aca="false">B31</f>
        <v>1954.2</v>
      </c>
      <c r="D38" s="25" t="n">
        <f aca="false">B38*C38-B32</f>
        <v>7411.30662396503</v>
      </c>
      <c r="E38" s="7" t="n">
        <f aca="false">MAX(D38-$B$34,0)/(1+Drivers!$B$21)^0.26*Drivers!$B$22/Drivers!$B$5</f>
        <v>3.93937910035812</v>
      </c>
    </row>
    <row r="39" customFormat="false" ht="15" hidden="false" customHeight="false" outlineLevel="0" collapsed="false">
      <c r="A39" s="4" t="s">
        <v>302</v>
      </c>
      <c r="B39" s="34" t="n">
        <f aca="false">D22</f>
        <v>5.32415737626574</v>
      </c>
      <c r="C39" s="25" t="n">
        <f aca="false">B31</f>
        <v>1954.2</v>
      </c>
      <c r="D39" s="25" t="n">
        <f aca="false">B39*C39-B32</f>
        <v>9381.46834469851</v>
      </c>
      <c r="E39" s="7" t="n">
        <f aca="false">MAX(D39-$B$34,0)/(1+Drivers!$B$21)^0.26*Drivers!$B$22/Drivers!$B$5</f>
        <v>10.7575893642575</v>
      </c>
    </row>
    <row r="40" customFormat="false" ht="15" hidden="false" customHeight="false" outlineLevel="0" collapsed="false">
      <c r="A40" s="4" t="s">
        <v>303</v>
      </c>
      <c r="B40" s="34" t="n">
        <f aca="false">D23</f>
        <v>5.67945279214812</v>
      </c>
      <c r="C40" s="25" t="n">
        <f aca="false">B31</f>
        <v>1954.2</v>
      </c>
      <c r="D40" s="25" t="n">
        <f aca="false">B40*C40-B32</f>
        <v>10075.7866464159</v>
      </c>
      <c r="E40" s="7" t="n">
        <f aca="false">MAX(D40-$B$34,0)/(1+Drivers!$B$21)^0.26*Drivers!$B$22/Drivers!$B$5</f>
        <v>13.160441942989</v>
      </c>
    </row>
    <row r="41" customFormat="false" ht="15" hidden="false" customHeight="false" outlineLevel="0" collapsed="false">
      <c r="A41" s="4" t="s">
        <v>304</v>
      </c>
      <c r="B41" s="34" t="n">
        <f aca="false">E21</f>
        <v>7.21579824792659</v>
      </c>
      <c r="C41" s="25" t="n">
        <f aca="false">B33</f>
        <v>736.2</v>
      </c>
      <c r="D41" s="25" t="n">
        <f aca="false">B41*C41</f>
        <v>5312.27067012356</v>
      </c>
      <c r="E41" s="7" t="n">
        <f aca="false">MAX(D41-$B$34,0)/(1+Drivers!$B$21)^0.26*Drivers!$B$22/Drivers!$B$5</f>
        <v>0</v>
      </c>
    </row>
    <row r="42" customFormat="false" ht="15" hidden="false" customHeight="false" outlineLevel="0" collapsed="false">
      <c r="A42" s="4" t="s">
        <v>305</v>
      </c>
      <c r="B42" s="34" t="n">
        <f aca="false">E22</f>
        <v>9.82591297963212</v>
      </c>
      <c r="C42" s="25" t="n">
        <f aca="false">B33</f>
        <v>736.2</v>
      </c>
      <c r="D42" s="25" t="n">
        <f aca="false">B42*C42</f>
        <v>7233.83713560517</v>
      </c>
      <c r="E42" s="7" t="n">
        <f aca="false">MAX(D42-$B$34,0)/(1+Drivers!$B$21)^0.26*Drivers!$B$22/Drivers!$B$5</f>
        <v>3.32520399263462</v>
      </c>
    </row>
    <row r="43" customFormat="false" ht="15" hidden="false" customHeight="false" outlineLevel="0" collapsed="false">
      <c r="A43" s="4" t="s">
        <v>306</v>
      </c>
      <c r="B43" s="34" t="n">
        <f aca="false">E23</f>
        <v>10.389137011649</v>
      </c>
      <c r="C43" s="25" t="n">
        <f aca="false">B33</f>
        <v>736.2</v>
      </c>
      <c r="D43" s="25" t="n">
        <f aca="false">B43*C43</f>
        <v>7648.482667976</v>
      </c>
      <c r="E43" s="7" t="n">
        <f aca="false">MAX(D43-$B$34,0)/(1+Drivers!$B$21)^0.26*Drivers!$B$22/Drivers!$B$5</f>
        <v>4.76018285499843</v>
      </c>
    </row>
    <row r="44" customFormat="false" ht="15" hidden="false" customHeight="false" outlineLevel="0" collapsed="false">
      <c r="A44" s="4" t="s">
        <v>307</v>
      </c>
      <c r="B44" s="34" t="n">
        <f aca="false">B35</f>
        <v>4.5</v>
      </c>
      <c r="C44" s="25" t="n">
        <f aca="false">B29</f>
        <v>1636.2</v>
      </c>
      <c r="D44" s="25" t="n">
        <f aca="false">B44*C44</f>
        <v>7362.9</v>
      </c>
      <c r="E44" s="7" t="n">
        <f aca="false">MAX(D44-$B$34,0)/(1+Drivers!$B$21)^0.26*Drivers!$B$22/Drivers!$B$5</f>
        <v>3.77185653767418</v>
      </c>
    </row>
    <row r="45" customFormat="false" ht="15" hidden="false" customHeight="false" outlineLevel="0" collapsed="false">
      <c r="A45" s="8" t="s">
        <v>308</v>
      </c>
      <c r="E45" s="10" t="n">
        <f aca="false">AVERAGE(E39,E42,E44)</f>
        <v>5.95154996485544</v>
      </c>
    </row>
    <row r="46" customFormat="false" ht="15" hidden="false" customHeight="false" outlineLevel="0" collapsed="false">
      <c r="A46" s="4" t="s">
        <v>309</v>
      </c>
      <c r="E46" s="12" t="n">
        <f aca="false">MIN(E38,E41)</f>
        <v>0</v>
      </c>
    </row>
    <row r="47" customFormat="false" ht="15" hidden="false" customHeight="false" outlineLevel="0" collapsed="false">
      <c r="A47" s="4" t="s">
        <v>310</v>
      </c>
      <c r="E47" s="12" t="n">
        <f aca="false">MAX(E40,E43)</f>
        <v>13.160441942989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5" min="2" style="0" width="13"/>
  </cols>
  <sheetData>
    <row r="1" customFormat="false" ht="16.15" hidden="false" customHeight="false" outlineLevel="0" collapsed="false">
      <c r="A1" s="1" t="s">
        <v>311</v>
      </c>
    </row>
    <row r="3" customFormat="false" ht="15" hidden="false" customHeight="false" outlineLevel="0" collapsed="false">
      <c r="A3" s="3" t="s">
        <v>312</v>
      </c>
      <c r="B3" s="3" t="s">
        <v>313</v>
      </c>
      <c r="C3" s="3" t="s">
        <v>153</v>
      </c>
      <c r="D3" s="3" t="s">
        <v>314</v>
      </c>
      <c r="E3" s="3" t="s">
        <v>315</v>
      </c>
      <c r="F3" s="3" t="s">
        <v>316</v>
      </c>
      <c r="G3" s="3" t="s">
        <v>242</v>
      </c>
      <c r="H3" s="3" t="s">
        <v>317</v>
      </c>
    </row>
    <row r="4" customFormat="false" ht="15" hidden="false" customHeight="false" outlineLevel="0" collapsed="false">
      <c r="A4" s="4" t="s">
        <v>318</v>
      </c>
      <c r="B4" s="24" t="n">
        <v>10300</v>
      </c>
      <c r="C4" s="11" t="n">
        <v>0.07</v>
      </c>
      <c r="D4" s="25" t="n">
        <f aca="false">B4*C4</f>
        <v>721</v>
      </c>
      <c r="E4" s="24" t="n">
        <v>480</v>
      </c>
      <c r="F4" s="25" t="n">
        <f aca="false">D4+E4</f>
        <v>1201</v>
      </c>
      <c r="G4" s="39" t="n">
        <v>5</v>
      </c>
      <c r="H4" s="25" t="n">
        <f aca="false">F4*G4</f>
        <v>6005</v>
      </c>
    </row>
    <row r="5" customFormat="false" ht="15" hidden="false" customHeight="false" outlineLevel="0" collapsed="false">
      <c r="A5" s="4" t="s">
        <v>319</v>
      </c>
      <c r="B5" s="24" t="n">
        <v>5700</v>
      </c>
      <c r="C5" s="11" t="n">
        <v>0.025</v>
      </c>
      <c r="D5" s="25" t="n">
        <f aca="false">B5*C5</f>
        <v>142.5</v>
      </c>
      <c r="E5" s="24" t="n">
        <v>290</v>
      </c>
      <c r="F5" s="25" t="n">
        <f aca="false">D5+E5</f>
        <v>432.5</v>
      </c>
      <c r="G5" s="39" t="n">
        <v>4</v>
      </c>
      <c r="H5" s="25" t="n">
        <f aca="false">F5*G5</f>
        <v>1730</v>
      </c>
    </row>
    <row r="6" customFormat="false" ht="15" hidden="false" customHeight="false" outlineLevel="0" collapsed="false">
      <c r="A6" s="4" t="s">
        <v>320</v>
      </c>
      <c r="B6" s="24" t="n">
        <v>1950</v>
      </c>
      <c r="C6" s="11" t="n">
        <v>0.12</v>
      </c>
      <c r="D6" s="25" t="n">
        <f aca="false">B6*C6</f>
        <v>234</v>
      </c>
      <c r="E6" s="24" t="n">
        <v>130</v>
      </c>
      <c r="F6" s="25" t="n">
        <f aca="false">D6+E6</f>
        <v>364</v>
      </c>
      <c r="G6" s="39" t="n">
        <v>6.5</v>
      </c>
      <c r="H6" s="25" t="n">
        <f aca="false">F6*G6</f>
        <v>2366</v>
      </c>
    </row>
    <row r="8" customFormat="false" ht="15" hidden="false" customHeight="false" outlineLevel="0" collapsed="false">
      <c r="A8" s="4" t="s">
        <v>321</v>
      </c>
      <c r="B8" s="24" t="n">
        <v>155</v>
      </c>
      <c r="G8" s="38" t="n">
        <v>5.5</v>
      </c>
      <c r="H8" s="25" t="n">
        <f aca="false">-B8*G8</f>
        <v>-852.5</v>
      </c>
    </row>
    <row r="9" customFormat="false" ht="15" hidden="false" customHeight="false" outlineLevel="0" collapsed="false">
      <c r="A9" s="4" t="s">
        <v>322</v>
      </c>
      <c r="H9" s="24" t="n">
        <v>-450</v>
      </c>
    </row>
    <row r="10" customFormat="false" ht="15" hidden="false" customHeight="false" outlineLevel="0" collapsed="false">
      <c r="A10" s="8" t="s">
        <v>323</v>
      </c>
      <c r="H10" s="25" t="n">
        <f aca="false">SUM(H4:H9)</f>
        <v>8798.5</v>
      </c>
    </row>
    <row r="11" customFormat="false" ht="15" hidden="false" customHeight="false" outlineLevel="0" collapsed="false">
      <c r="A11" s="4" t="s">
        <v>324</v>
      </c>
      <c r="B11" s="35" t="n">
        <v>1.5</v>
      </c>
    </row>
    <row r="12" customFormat="false" ht="15" hidden="false" customHeight="false" outlineLevel="0" collapsed="false">
      <c r="A12" s="4" t="s">
        <v>325</v>
      </c>
      <c r="H12" s="6" t="n">
        <f aca="false">H10/(1+Drivers!B21)^B11+Drivers!C53/(1+Drivers!B21)^0.25+DCF_Base!C22/(1+Drivers!B21)*0.5</f>
        <v>8698.01310179992</v>
      </c>
    </row>
    <row r="13" customFormat="false" ht="15" hidden="false" customHeight="false" outlineLevel="0" collapsed="false">
      <c r="A13" s="4" t="s">
        <v>218</v>
      </c>
      <c r="H13" s="6" t="n">
        <f aca="false">H12-Drivers!B31</f>
        <v>1788.01310179992</v>
      </c>
    </row>
    <row r="14" customFormat="false" ht="15" hidden="false" customHeight="false" outlineLevel="0" collapsed="false">
      <c r="A14" s="8" t="s">
        <v>326</v>
      </c>
      <c r="H14" s="33" t="n">
        <f aca="false">MAX(H13,0)*Drivers!B22/Drivers!B5</f>
        <v>6.33182329189372</v>
      </c>
    </row>
    <row r="15" customFormat="false" ht="15" hidden="false" customHeight="false" outlineLevel="0" collapsed="false">
      <c r="A15" s="4" t="s">
        <v>327</v>
      </c>
      <c r="H15" s="9" t="n">
        <f aca="false">SUM(D4:D6)/SUM(B4:B6)</f>
        <v>0.0611420612813371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3"/>
    <col collapsed="false" customWidth="true" hidden="false" outlineLevel="0" max="3" min="3" style="0" width="90"/>
    <col collapsed="false" customWidth="true" hidden="false" outlineLevel="0" max="15" min="4" style="0" width="13"/>
  </cols>
  <sheetData>
    <row r="1" customFormat="false" ht="16.15" hidden="false" customHeight="false" outlineLevel="0" collapsed="false">
      <c r="A1" s="1" t="s">
        <v>328</v>
      </c>
    </row>
    <row r="3" customFormat="false" ht="15" hidden="false" customHeight="false" outlineLevel="0" collapsed="false">
      <c r="A3" s="3" t="s">
        <v>329</v>
      </c>
      <c r="B3" s="3" t="s">
        <v>298</v>
      </c>
      <c r="C3" s="3" t="s">
        <v>330</v>
      </c>
    </row>
    <row r="4" customFormat="false" ht="15" hidden="false" customHeight="false" outlineLevel="0" collapsed="false">
      <c r="A4" s="4" t="s">
        <v>331</v>
      </c>
      <c r="B4" s="38" t="n">
        <v>6.4</v>
      </c>
      <c r="C4" s="4" t="s">
        <v>332</v>
      </c>
    </row>
    <row r="5" customFormat="false" ht="15" hidden="false" customHeight="false" outlineLevel="0" collapsed="false">
      <c r="A5" s="4" t="s">
        <v>333</v>
      </c>
      <c r="B5" s="38" t="n">
        <v>7.2</v>
      </c>
      <c r="C5" s="4" t="s">
        <v>334</v>
      </c>
    </row>
    <row r="6" customFormat="false" ht="15" hidden="false" customHeight="false" outlineLevel="0" collapsed="false">
      <c r="A6" s="4" t="s">
        <v>335</v>
      </c>
      <c r="B6" s="38" t="n">
        <v>4.3</v>
      </c>
      <c r="C6" s="4" t="s">
        <v>336</v>
      </c>
    </row>
    <row r="7" customFormat="false" ht="15" hidden="false" customHeight="false" outlineLevel="0" collapsed="false">
      <c r="A7" s="4" t="s">
        <v>337</v>
      </c>
      <c r="B7" s="38" t="n">
        <v>9.7</v>
      </c>
      <c r="C7" s="4" t="s">
        <v>338</v>
      </c>
    </row>
    <row r="9" customFormat="false" ht="15" hidden="false" customHeight="false" outlineLevel="0" collapsed="false">
      <c r="A9" s="4" t="s">
        <v>339</v>
      </c>
      <c r="B9" s="39" t="n">
        <v>6</v>
      </c>
    </row>
    <row r="10" customFormat="false" ht="15" hidden="false" customHeight="false" outlineLevel="0" collapsed="false">
      <c r="A10" s="4" t="s">
        <v>340</v>
      </c>
      <c r="B10" s="6" t="n">
        <f aca="false">DCF_Base!F25</f>
        <v>1857.79060542187</v>
      </c>
    </row>
    <row r="11" customFormat="false" ht="15" hidden="false" customHeight="false" outlineLevel="0" collapsed="false">
      <c r="A11" s="4" t="s">
        <v>341</v>
      </c>
      <c r="B11" s="6" t="n">
        <f aca="false">B9*B10/(1+Drivers!B21)^3.5</f>
        <v>8178.48672371948</v>
      </c>
    </row>
    <row r="12" customFormat="false" ht="15" hidden="false" customHeight="false" outlineLevel="0" collapsed="false">
      <c r="A12" s="4" t="s">
        <v>342</v>
      </c>
      <c r="B12" s="7" t="n">
        <f aca="false">MAX(B11-Drivers!B31,0)*Drivers!B22/Drivers!B5</f>
        <v>4.49204414364729</v>
      </c>
    </row>
    <row r="13" customFormat="false" ht="15" hidden="false" customHeight="false" outlineLevel="0" collapsed="false">
      <c r="A13" s="4" t="s">
        <v>343</v>
      </c>
      <c r="B13" s="16" t="n">
        <v>0.2</v>
      </c>
    </row>
    <row r="14" customFormat="false" ht="15" hidden="false" customHeight="false" outlineLevel="0" collapsed="false">
      <c r="A14" s="4" t="s">
        <v>344</v>
      </c>
      <c r="B14" s="7" t="n">
        <f aca="false">MAX(B11*(1-B13)-Drivers!B31,0)*Drivers!B22/Drivers!B5</f>
        <v>0</v>
      </c>
    </row>
    <row r="17" customFormat="false" ht="15" hidden="false" customHeight="false" outlineLevel="0" collapsed="false">
      <c r="A17" s="8" t="s">
        <v>345</v>
      </c>
    </row>
    <row r="18" customFormat="false" ht="15" hidden="false" customHeight="false" outlineLevel="0" collapsed="false">
      <c r="A18" s="3" t="s">
        <v>346</v>
      </c>
      <c r="B18" s="3" t="s">
        <v>347</v>
      </c>
      <c r="C18" s="3" t="s">
        <v>348</v>
      </c>
      <c r="D18" s="3" t="s">
        <v>349</v>
      </c>
    </row>
    <row r="19" customFormat="false" ht="15" hidden="false" customHeight="false" outlineLevel="0" collapsed="false">
      <c r="A19" s="4" t="s">
        <v>350</v>
      </c>
      <c r="B19" s="24" t="n">
        <v>2728</v>
      </c>
      <c r="C19" s="16" t="n">
        <v>0.85</v>
      </c>
      <c r="D19" s="25" t="n">
        <f aca="false">B19*C19</f>
        <v>2318.8</v>
      </c>
    </row>
    <row r="20" customFormat="false" ht="15" hidden="false" customHeight="false" outlineLevel="0" collapsed="false">
      <c r="A20" s="4" t="s">
        <v>351</v>
      </c>
      <c r="B20" s="24" t="n">
        <v>3916</v>
      </c>
      <c r="C20" s="16" t="n">
        <v>0.55</v>
      </c>
      <c r="D20" s="25" t="n">
        <f aca="false">B20*C20</f>
        <v>2153.8</v>
      </c>
    </row>
    <row r="21" customFormat="false" ht="15" hidden="false" customHeight="false" outlineLevel="0" collapsed="false">
      <c r="A21" s="4" t="s">
        <v>352</v>
      </c>
      <c r="B21" s="24" t="n">
        <v>7598</v>
      </c>
      <c r="C21" s="16" t="n">
        <v>0.2</v>
      </c>
      <c r="D21" s="25" t="n">
        <f aca="false">B21*C21</f>
        <v>1519.6</v>
      </c>
    </row>
    <row r="22" customFormat="false" ht="15" hidden="false" customHeight="false" outlineLevel="0" collapsed="false">
      <c r="A22" s="4" t="s">
        <v>353</v>
      </c>
      <c r="B22" s="24" t="n">
        <v>1528</v>
      </c>
      <c r="C22" s="16" t="n">
        <v>0.25</v>
      </c>
      <c r="D22" s="25" t="n">
        <f aca="false">B22*C22</f>
        <v>382</v>
      </c>
    </row>
    <row r="23" customFormat="false" ht="15" hidden="false" customHeight="false" outlineLevel="0" collapsed="false">
      <c r="A23" s="4" t="s">
        <v>354</v>
      </c>
      <c r="B23" s="24" t="n">
        <v>2000</v>
      </c>
      <c r="C23" s="16" t="n">
        <v>1</v>
      </c>
      <c r="D23" s="25" t="n">
        <f aca="false">B23*C23</f>
        <v>2000</v>
      </c>
    </row>
    <row r="24" customFormat="false" ht="15" hidden="false" customHeight="false" outlineLevel="0" collapsed="false">
      <c r="A24" s="4" t="s">
        <v>355</v>
      </c>
      <c r="D24" s="25" t="n">
        <f aca="false">SUM(D19:D23)</f>
        <v>8374.2</v>
      </c>
    </row>
    <row r="25" customFormat="false" ht="15" hidden="false" customHeight="false" outlineLevel="0" collapsed="false">
      <c r="A25" s="4" t="s">
        <v>356</v>
      </c>
      <c r="D25" s="24" t="n">
        <v>15649</v>
      </c>
    </row>
    <row r="26" customFormat="false" ht="15" hidden="false" customHeight="false" outlineLevel="0" collapsed="false">
      <c r="A26" s="4" t="s">
        <v>357</v>
      </c>
      <c r="D26" s="25" t="n">
        <f aca="false">D24-D25</f>
        <v>-7274.8</v>
      </c>
    </row>
    <row r="27" customFormat="false" ht="15" hidden="false" customHeight="false" outlineLevel="0" collapsed="false">
      <c r="A27" s="4" t="s">
        <v>358</v>
      </c>
      <c r="D27" s="12" t="n">
        <f aca="false">MAX(D26,0)/288</f>
        <v>0</v>
      </c>
    </row>
    <row r="28" customFormat="false" ht="15" hidden="false" customHeight="false" outlineLevel="0" collapsed="false">
      <c r="A28" s="4" t="s">
        <v>359</v>
      </c>
      <c r="D28" s="12" t="n">
        <f aca="false">2839/288</f>
        <v>9.85763888888889</v>
      </c>
    </row>
    <row r="29" customFormat="false" ht="15" hidden="false" customHeight="false" outlineLevel="0" collapsed="false">
      <c r="A29" s="4" t="s">
        <v>360</v>
      </c>
      <c r="D29" s="12" t="n">
        <f aca="false">(2839-44-651)/288</f>
        <v>7.44444444444445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3"/>
    <col collapsed="false" customWidth="true" hidden="false" outlineLevel="0" max="4" min="4" style="0" width="48"/>
    <col collapsed="false" customWidth="true" hidden="false" outlineLevel="0" max="15" min="5" style="0" width="13"/>
  </cols>
  <sheetData>
    <row r="1" customFormat="false" ht="16.15" hidden="false" customHeight="false" outlineLevel="0" collapsed="false">
      <c r="A1" s="1" t="s">
        <v>361</v>
      </c>
    </row>
    <row r="3" customFormat="false" ht="15" hidden="false" customHeight="false" outlineLevel="0" collapsed="false">
      <c r="A3" s="8" t="s">
        <v>362</v>
      </c>
      <c r="D3" s="8" t="s">
        <v>363</v>
      </c>
    </row>
    <row r="4" customFormat="false" ht="15" hidden="false" customHeight="false" outlineLevel="0" collapsed="false">
      <c r="A4" s="4" t="s">
        <v>364</v>
      </c>
      <c r="B4" s="14" t="n">
        <v>3.194</v>
      </c>
      <c r="D4" s="4" t="s">
        <v>365</v>
      </c>
      <c r="G4" s="4" t="s">
        <v>366</v>
      </c>
    </row>
    <row r="5" customFormat="false" ht="15" hidden="false" customHeight="false" outlineLevel="0" collapsed="false">
      <c r="A5" s="4" t="s">
        <v>367</v>
      </c>
      <c r="B5" s="14" t="n">
        <v>0</v>
      </c>
      <c r="D5" s="4" t="s">
        <v>368</v>
      </c>
      <c r="G5" s="4" t="s">
        <v>369</v>
      </c>
    </row>
    <row r="6" customFormat="false" ht="15" hidden="false" customHeight="false" outlineLevel="0" collapsed="false">
      <c r="A6" s="4" t="s">
        <v>51</v>
      </c>
      <c r="B6" s="14" t="n">
        <v>0</v>
      </c>
      <c r="D6" s="4" t="s">
        <v>370</v>
      </c>
      <c r="G6" s="4"/>
    </row>
    <row r="7" customFormat="false" ht="15" hidden="false" customHeight="false" outlineLevel="0" collapsed="false">
      <c r="A7" s="4" t="s">
        <v>52</v>
      </c>
      <c r="B7" s="14" t="n">
        <v>0</v>
      </c>
      <c r="D7" s="4" t="s">
        <v>371</v>
      </c>
      <c r="G7" s="4" t="s">
        <v>372</v>
      </c>
    </row>
    <row r="8" customFormat="false" ht="15" hidden="false" customHeight="false" outlineLevel="0" collapsed="false">
      <c r="A8" s="4" t="s">
        <v>53</v>
      </c>
      <c r="B8" s="14" t="n">
        <v>0</v>
      </c>
      <c r="D8" s="4" t="s">
        <v>373</v>
      </c>
      <c r="G8" s="4" t="s">
        <v>374</v>
      </c>
    </row>
    <row r="9" customFormat="false" ht="15" hidden="false" customHeight="false" outlineLevel="0" collapsed="false">
      <c r="A9" s="4" t="s">
        <v>54</v>
      </c>
      <c r="B9" s="14" t="n">
        <v>4.9773</v>
      </c>
      <c r="D9" s="4" t="s">
        <v>375</v>
      </c>
      <c r="G9" s="4" t="s">
        <v>376</v>
      </c>
    </row>
    <row r="10" customFormat="false" ht="15" hidden="false" customHeight="false" outlineLevel="0" collapsed="false">
      <c r="A10" s="4" t="s">
        <v>55</v>
      </c>
      <c r="B10" s="14" t="n">
        <v>10.8603</v>
      </c>
      <c r="D10" s="4" t="s">
        <v>377</v>
      </c>
      <c r="G10" s="4" t="s">
        <v>378</v>
      </c>
    </row>
    <row r="11" customFormat="false" ht="15" hidden="false" customHeight="false" outlineLevel="0" collapsed="false">
      <c r="A11" s="4" t="s">
        <v>379</v>
      </c>
      <c r="B11" s="14" t="n">
        <v>14.5764</v>
      </c>
      <c r="D11" s="4" t="s">
        <v>380</v>
      </c>
      <c r="G11" s="4" t="s">
        <v>381</v>
      </c>
    </row>
    <row r="12" customFormat="false" ht="15" hidden="false" customHeight="false" outlineLevel="0" collapsed="false">
      <c r="A12" s="4" t="s">
        <v>382</v>
      </c>
      <c r="B12" s="16" t="n">
        <v>0.2444</v>
      </c>
      <c r="D12" s="4" t="s">
        <v>383</v>
      </c>
      <c r="G12" s="4" t="s">
        <v>384</v>
      </c>
    </row>
    <row r="13" customFormat="false" ht="15" hidden="false" customHeight="false" outlineLevel="0" collapsed="false">
      <c r="A13" s="4" t="s">
        <v>385</v>
      </c>
      <c r="B13" s="16" t="n">
        <v>0.5624</v>
      </c>
      <c r="D13" s="4" t="s">
        <v>386</v>
      </c>
      <c r="G13" s="4" t="s">
        <v>387</v>
      </c>
    </row>
    <row r="14" customFormat="false" ht="15" hidden="false" customHeight="false" outlineLevel="0" collapsed="false">
      <c r="D14" s="4" t="s">
        <v>388</v>
      </c>
      <c r="G14" s="4" t="s">
        <v>389</v>
      </c>
    </row>
    <row r="15" customFormat="false" ht="15" hidden="false" customHeight="false" outlineLevel="0" collapsed="false">
      <c r="A15" s="8" t="s">
        <v>390</v>
      </c>
    </row>
    <row r="16" customFormat="false" ht="15" hidden="false" customHeight="false" outlineLevel="0" collapsed="false">
      <c r="A16" s="4" t="s">
        <v>391</v>
      </c>
      <c r="B16" s="19" t="n">
        <v>0.787</v>
      </c>
    </row>
    <row r="17" customFormat="false" ht="15" hidden="false" customHeight="false" outlineLevel="0" collapsed="false">
      <c r="A17" s="4" t="s">
        <v>392</v>
      </c>
      <c r="B17" s="19" t="n">
        <v>0.426</v>
      </c>
    </row>
    <row r="18" customFormat="false" ht="15" hidden="false" customHeight="false" outlineLevel="0" collapsed="false">
      <c r="A18" s="4" t="s">
        <v>393</v>
      </c>
      <c r="B18" s="19" t="n">
        <v>-0.155</v>
      </c>
    </row>
    <row r="19" customFormat="false" ht="15" hidden="false" customHeight="false" outlineLevel="0" collapsed="false">
      <c r="A19" s="4" t="s">
        <v>394</v>
      </c>
      <c r="B19" s="19" t="n">
        <v>0.006</v>
      </c>
    </row>
    <row r="20" customFormat="false" ht="15" hidden="false" customHeight="false" outlineLevel="0" collapsed="false">
      <c r="A20" s="4" t="s">
        <v>395</v>
      </c>
      <c r="B20" s="19" t="n">
        <v>-0.004</v>
      </c>
    </row>
    <row r="21" customFormat="false" ht="15" hidden="false" customHeight="false" outlineLevel="0" collapsed="false">
      <c r="A21" s="4" t="s">
        <v>396</v>
      </c>
      <c r="B21" s="19" t="n">
        <v>-0.055</v>
      </c>
    </row>
    <row r="22" customFormat="false" ht="15" hidden="false" customHeight="false" outlineLevel="0" collapsed="false">
      <c r="A22" s="4" t="s">
        <v>397</v>
      </c>
      <c r="B22" s="19" t="n">
        <v>0.036</v>
      </c>
    </row>
    <row r="23" customFormat="false" ht="15" hidden="false" customHeight="false" outlineLevel="0" collapsed="false">
      <c r="A23" s="4" t="s">
        <v>398</v>
      </c>
      <c r="B23" s="19" t="n">
        <v>0.019</v>
      </c>
    </row>
    <row r="24" customFormat="false" ht="15" hidden="false" customHeight="false" outlineLevel="0" collapsed="false">
      <c r="A24" s="4" t="s">
        <v>399</v>
      </c>
      <c r="B24" s="19" t="n">
        <v>-0.059</v>
      </c>
    </row>
    <row r="28" customFormat="false" ht="15" hidden="false" customHeight="false" outlineLevel="0" collapsed="false">
      <c r="A28" s="8" t="s">
        <v>400</v>
      </c>
    </row>
    <row r="29" customFormat="false" ht="15" hidden="false" customHeight="false" outlineLevel="0" collapsed="false">
      <c r="A29" s="3" t="s">
        <v>401</v>
      </c>
      <c r="B29" s="3" t="s">
        <v>402</v>
      </c>
    </row>
    <row r="30" customFormat="false" ht="15" hidden="false" customHeight="false" outlineLevel="0" collapsed="false">
      <c r="A30" s="14" t="n">
        <v>0</v>
      </c>
      <c r="B30" s="18" t="n">
        <v>11506</v>
      </c>
    </row>
    <row r="31" customFormat="false" ht="15" hidden="false" customHeight="false" outlineLevel="0" collapsed="false">
      <c r="A31" s="14" t="n">
        <v>0.5</v>
      </c>
      <c r="B31" s="18" t="n">
        <v>394</v>
      </c>
    </row>
    <row r="32" customFormat="false" ht="15" hidden="false" customHeight="false" outlineLevel="0" collapsed="false">
      <c r="A32" s="14" t="n">
        <v>1</v>
      </c>
      <c r="B32" s="18" t="n">
        <v>439</v>
      </c>
    </row>
    <row r="33" customFormat="false" ht="15" hidden="false" customHeight="false" outlineLevel="0" collapsed="false">
      <c r="A33" s="14" t="n">
        <v>1.5</v>
      </c>
      <c r="B33" s="18" t="n">
        <v>385</v>
      </c>
    </row>
    <row r="34" customFormat="false" ht="15" hidden="false" customHeight="false" outlineLevel="0" collapsed="false">
      <c r="A34" s="14" t="n">
        <v>2</v>
      </c>
      <c r="B34" s="18" t="n">
        <v>406</v>
      </c>
    </row>
    <row r="35" customFormat="false" ht="15" hidden="false" customHeight="false" outlineLevel="0" collapsed="false">
      <c r="A35" s="14" t="n">
        <v>2.5</v>
      </c>
      <c r="B35" s="18" t="n">
        <v>412</v>
      </c>
    </row>
    <row r="36" customFormat="false" ht="15" hidden="false" customHeight="false" outlineLevel="0" collapsed="false">
      <c r="A36" s="14" t="n">
        <v>3</v>
      </c>
      <c r="B36" s="18" t="n">
        <v>358</v>
      </c>
    </row>
    <row r="37" customFormat="false" ht="15" hidden="false" customHeight="false" outlineLevel="0" collapsed="false">
      <c r="A37" s="14" t="n">
        <v>3.5</v>
      </c>
      <c r="B37" s="18" t="n">
        <v>400</v>
      </c>
    </row>
    <row r="38" customFormat="false" ht="15" hidden="false" customHeight="false" outlineLevel="0" collapsed="false">
      <c r="A38" s="14" t="n">
        <v>4</v>
      </c>
      <c r="B38" s="18" t="n">
        <v>372</v>
      </c>
    </row>
    <row r="39" customFormat="false" ht="15" hidden="false" customHeight="false" outlineLevel="0" collapsed="false">
      <c r="A39" s="14" t="n">
        <v>4.5</v>
      </c>
      <c r="B39" s="18" t="n">
        <v>349</v>
      </c>
    </row>
    <row r="40" customFormat="false" ht="15" hidden="false" customHeight="false" outlineLevel="0" collapsed="false">
      <c r="A40" s="14" t="n">
        <v>5</v>
      </c>
      <c r="B40" s="18" t="n">
        <v>323</v>
      </c>
    </row>
    <row r="41" customFormat="false" ht="15" hidden="false" customHeight="false" outlineLevel="0" collapsed="false">
      <c r="A41" s="14" t="n">
        <v>5.5</v>
      </c>
      <c r="B41" s="18" t="n">
        <v>305</v>
      </c>
    </row>
    <row r="42" customFormat="false" ht="15" hidden="false" customHeight="false" outlineLevel="0" collapsed="false">
      <c r="A42" s="14" t="n">
        <v>6</v>
      </c>
      <c r="B42" s="18" t="n">
        <v>293</v>
      </c>
    </row>
    <row r="43" customFormat="false" ht="15" hidden="false" customHeight="false" outlineLevel="0" collapsed="false">
      <c r="A43" s="14" t="n">
        <v>6.5</v>
      </c>
      <c r="B43" s="18" t="n">
        <v>286</v>
      </c>
    </row>
    <row r="44" customFormat="false" ht="15" hidden="false" customHeight="false" outlineLevel="0" collapsed="false">
      <c r="A44" s="14" t="n">
        <v>7</v>
      </c>
      <c r="B44" s="18" t="n">
        <v>266</v>
      </c>
    </row>
    <row r="45" customFormat="false" ht="15" hidden="false" customHeight="false" outlineLevel="0" collapsed="false">
      <c r="A45" s="14" t="n">
        <v>7.5</v>
      </c>
      <c r="B45" s="18" t="n">
        <v>270</v>
      </c>
    </row>
    <row r="46" customFormat="false" ht="15" hidden="false" customHeight="false" outlineLevel="0" collapsed="false">
      <c r="A46" s="14" t="n">
        <v>8</v>
      </c>
      <c r="B46" s="18" t="n">
        <v>228</v>
      </c>
    </row>
    <row r="47" customFormat="false" ht="15" hidden="false" customHeight="false" outlineLevel="0" collapsed="false">
      <c r="A47" s="14" t="n">
        <v>8.5</v>
      </c>
      <c r="B47" s="18" t="n">
        <v>263</v>
      </c>
    </row>
    <row r="48" customFormat="false" ht="15" hidden="false" customHeight="false" outlineLevel="0" collapsed="false">
      <c r="A48" s="14" t="n">
        <v>9</v>
      </c>
      <c r="B48" s="18" t="n">
        <v>206</v>
      </c>
    </row>
    <row r="49" customFormat="false" ht="15" hidden="false" customHeight="false" outlineLevel="0" collapsed="false">
      <c r="A49" s="14" t="n">
        <v>9.5</v>
      </c>
      <c r="B49" s="18" t="n">
        <v>212</v>
      </c>
    </row>
    <row r="50" customFormat="false" ht="15" hidden="false" customHeight="false" outlineLevel="0" collapsed="false">
      <c r="A50" s="14" t="n">
        <v>10</v>
      </c>
      <c r="B50" s="18" t="n">
        <v>194</v>
      </c>
    </row>
    <row r="51" customFormat="false" ht="15" hidden="false" customHeight="false" outlineLevel="0" collapsed="false">
      <c r="A51" s="14" t="n">
        <v>10.5</v>
      </c>
      <c r="B51" s="18" t="n">
        <v>170</v>
      </c>
    </row>
    <row r="52" customFormat="false" ht="15" hidden="false" customHeight="false" outlineLevel="0" collapsed="false">
      <c r="A52" s="14" t="n">
        <v>11</v>
      </c>
      <c r="B52" s="18" t="n">
        <v>171</v>
      </c>
    </row>
    <row r="53" customFormat="false" ht="15" hidden="false" customHeight="false" outlineLevel="0" collapsed="false">
      <c r="A53" s="14" t="n">
        <v>11.5</v>
      </c>
      <c r="B53" s="18" t="n">
        <v>164</v>
      </c>
    </row>
    <row r="54" customFormat="false" ht="15" hidden="false" customHeight="false" outlineLevel="0" collapsed="false">
      <c r="A54" s="14" t="n">
        <v>12</v>
      </c>
      <c r="B54" s="18" t="n">
        <v>133</v>
      </c>
    </row>
    <row r="55" customFormat="false" ht="15" hidden="false" customHeight="false" outlineLevel="0" collapsed="false">
      <c r="A55" s="14" t="n">
        <v>12.5</v>
      </c>
      <c r="B55" s="18" t="n">
        <v>136</v>
      </c>
    </row>
    <row r="56" customFormat="false" ht="15" hidden="false" customHeight="false" outlineLevel="0" collapsed="false">
      <c r="A56" s="14" t="n">
        <v>13</v>
      </c>
      <c r="B56" s="18" t="n">
        <v>118</v>
      </c>
    </row>
    <row r="57" customFormat="false" ht="15" hidden="false" customHeight="false" outlineLevel="0" collapsed="false">
      <c r="A57" s="14" t="n">
        <v>13.5</v>
      </c>
      <c r="B57" s="18" t="n">
        <v>110</v>
      </c>
    </row>
    <row r="58" customFormat="false" ht="15" hidden="false" customHeight="false" outlineLevel="0" collapsed="false">
      <c r="A58" s="14" t="n">
        <v>14</v>
      </c>
      <c r="B58" s="18" t="n">
        <v>114</v>
      </c>
    </row>
    <row r="59" customFormat="false" ht="15" hidden="false" customHeight="false" outlineLevel="0" collapsed="false">
      <c r="A59" s="14" t="n">
        <v>14.5</v>
      </c>
      <c r="B59" s="18" t="n">
        <v>89</v>
      </c>
    </row>
    <row r="60" customFormat="false" ht="15" hidden="false" customHeight="false" outlineLevel="0" collapsed="false">
      <c r="A60" s="14" t="n">
        <v>15</v>
      </c>
      <c r="B60" s="18" t="n">
        <v>96</v>
      </c>
    </row>
    <row r="61" customFormat="false" ht="15" hidden="false" customHeight="false" outlineLevel="0" collapsed="false">
      <c r="A61" s="14" t="n">
        <v>15.5</v>
      </c>
      <c r="B61" s="18" t="n">
        <v>79</v>
      </c>
    </row>
    <row r="62" customFormat="false" ht="15" hidden="false" customHeight="false" outlineLevel="0" collapsed="false">
      <c r="A62" s="14" t="n">
        <v>16</v>
      </c>
      <c r="B62" s="18" t="n">
        <v>84</v>
      </c>
    </row>
    <row r="63" customFormat="false" ht="15" hidden="false" customHeight="false" outlineLevel="0" collapsed="false">
      <c r="A63" s="14" t="n">
        <v>16.5</v>
      </c>
      <c r="B63" s="18" t="n">
        <v>79</v>
      </c>
    </row>
    <row r="64" customFormat="false" ht="15" hidden="false" customHeight="false" outlineLevel="0" collapsed="false">
      <c r="A64" s="14" t="n">
        <v>17</v>
      </c>
      <c r="B64" s="18" t="n">
        <v>62</v>
      </c>
    </row>
    <row r="65" customFormat="false" ht="15" hidden="false" customHeight="false" outlineLevel="0" collapsed="false">
      <c r="A65" s="14" t="n">
        <v>17.5</v>
      </c>
      <c r="B65" s="18" t="n">
        <v>56</v>
      </c>
    </row>
    <row r="66" customFormat="false" ht="15" hidden="false" customHeight="false" outlineLevel="0" collapsed="false">
      <c r="A66" s="14" t="n">
        <v>18</v>
      </c>
      <c r="B66" s="18" t="n">
        <v>48</v>
      </c>
    </row>
    <row r="67" customFormat="false" ht="15" hidden="false" customHeight="false" outlineLevel="0" collapsed="false">
      <c r="A67" s="14" t="n">
        <v>18.5</v>
      </c>
      <c r="B67" s="18" t="n">
        <v>49</v>
      </c>
    </row>
    <row r="68" customFormat="false" ht="15" hidden="false" customHeight="false" outlineLevel="0" collapsed="false">
      <c r="A68" s="14" t="n">
        <v>19</v>
      </c>
      <c r="B68" s="18" t="n">
        <v>33</v>
      </c>
    </row>
    <row r="69" customFormat="false" ht="15" hidden="false" customHeight="false" outlineLevel="0" collapsed="false">
      <c r="A69" s="14" t="n">
        <v>19.5</v>
      </c>
      <c r="B69" s="18" t="n">
        <v>33</v>
      </c>
    </row>
    <row r="70" customFormat="false" ht="15" hidden="false" customHeight="false" outlineLevel="0" collapsed="false">
      <c r="A70" s="14" t="n">
        <v>20</v>
      </c>
      <c r="B70" s="18" t="n">
        <v>41</v>
      </c>
    </row>
    <row r="71" customFormat="false" ht="15" hidden="false" customHeight="false" outlineLevel="0" collapsed="false">
      <c r="A71" s="14" t="n">
        <v>20.5</v>
      </c>
      <c r="B71" s="18" t="n">
        <v>31</v>
      </c>
    </row>
    <row r="72" customFormat="false" ht="15" hidden="false" customHeight="false" outlineLevel="0" collapsed="false">
      <c r="A72" s="14" t="n">
        <v>21</v>
      </c>
      <c r="B72" s="18" t="n">
        <v>30</v>
      </c>
    </row>
    <row r="73" customFormat="false" ht="15" hidden="false" customHeight="false" outlineLevel="0" collapsed="false">
      <c r="A73" s="14" t="n">
        <v>21.5</v>
      </c>
      <c r="B73" s="18" t="n">
        <v>25</v>
      </c>
    </row>
    <row r="74" customFormat="false" ht="15" hidden="false" customHeight="false" outlineLevel="0" collapsed="false">
      <c r="A74" s="14" t="n">
        <v>22</v>
      </c>
      <c r="B74" s="18" t="n">
        <v>23</v>
      </c>
    </row>
    <row r="75" customFormat="false" ht="15" hidden="false" customHeight="false" outlineLevel="0" collapsed="false">
      <c r="A75" s="14" t="n">
        <v>22.5</v>
      </c>
      <c r="B75" s="18" t="n">
        <v>22</v>
      </c>
    </row>
    <row r="76" customFormat="false" ht="15" hidden="false" customHeight="false" outlineLevel="0" collapsed="false">
      <c r="A76" s="14" t="n">
        <v>23</v>
      </c>
      <c r="B76" s="18" t="n">
        <v>23</v>
      </c>
    </row>
    <row r="77" customFormat="false" ht="15" hidden="false" customHeight="false" outlineLevel="0" collapsed="false">
      <c r="A77" s="14" t="n">
        <v>23.5</v>
      </c>
      <c r="B77" s="18" t="n">
        <v>10</v>
      </c>
    </row>
    <row r="78" customFormat="false" ht="15" hidden="false" customHeight="false" outlineLevel="0" collapsed="false">
      <c r="A78" s="14" t="n">
        <v>24</v>
      </c>
      <c r="B78" s="18" t="n">
        <v>13</v>
      </c>
    </row>
    <row r="79" customFormat="false" ht="15" hidden="false" customHeight="false" outlineLevel="0" collapsed="false">
      <c r="A79" s="14" t="n">
        <v>24.5</v>
      </c>
      <c r="B79" s="18" t="n">
        <v>14</v>
      </c>
    </row>
    <row r="80" customFormat="false" ht="15" hidden="false" customHeight="false" outlineLevel="0" collapsed="false">
      <c r="A80" s="14" t="n">
        <v>25</v>
      </c>
      <c r="B80" s="18" t="n">
        <v>8</v>
      </c>
    </row>
    <row r="81" customFormat="false" ht="15" hidden="false" customHeight="false" outlineLevel="0" collapsed="false">
      <c r="A81" s="14" t="n">
        <v>25.5</v>
      </c>
      <c r="B81" s="18" t="n">
        <v>8</v>
      </c>
    </row>
    <row r="82" customFormat="false" ht="15" hidden="false" customHeight="false" outlineLevel="0" collapsed="false">
      <c r="A82" s="14" t="n">
        <v>26</v>
      </c>
      <c r="B82" s="18" t="n">
        <v>5</v>
      </c>
    </row>
    <row r="83" customFormat="false" ht="15" hidden="false" customHeight="false" outlineLevel="0" collapsed="false">
      <c r="A83" s="14" t="n">
        <v>26.5</v>
      </c>
      <c r="B83" s="18" t="n">
        <v>8</v>
      </c>
    </row>
    <row r="84" customFormat="false" ht="15" hidden="false" customHeight="false" outlineLevel="0" collapsed="false">
      <c r="A84" s="14" t="n">
        <v>27</v>
      </c>
      <c r="B84" s="18" t="n">
        <v>12</v>
      </c>
    </row>
    <row r="85" customFormat="false" ht="15" hidden="false" customHeight="false" outlineLevel="0" collapsed="false">
      <c r="A85" s="14" t="n">
        <v>27.5</v>
      </c>
      <c r="B85" s="18" t="n">
        <v>3</v>
      </c>
    </row>
    <row r="86" customFormat="false" ht="15" hidden="false" customHeight="false" outlineLevel="0" collapsed="false">
      <c r="A86" s="14" t="n">
        <v>28</v>
      </c>
      <c r="B86" s="18" t="n">
        <v>2</v>
      </c>
    </row>
    <row r="87" customFormat="false" ht="15" hidden="false" customHeight="false" outlineLevel="0" collapsed="false">
      <c r="A87" s="14" t="n">
        <v>28.5</v>
      </c>
      <c r="B87" s="18" t="n">
        <v>3</v>
      </c>
    </row>
    <row r="88" customFormat="false" ht="15" hidden="false" customHeight="false" outlineLevel="0" collapsed="false">
      <c r="A88" s="14" t="n">
        <v>29</v>
      </c>
      <c r="B88" s="18" t="n">
        <v>5</v>
      </c>
    </row>
    <row r="89" customFormat="false" ht="15" hidden="false" customHeight="false" outlineLevel="0" collapsed="false">
      <c r="A89" s="14" t="n">
        <v>29.5</v>
      </c>
      <c r="B89" s="18" t="n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5" min="2" style="0" width="13"/>
  </cols>
  <sheetData>
    <row r="1" customFormat="false" ht="16.15" hidden="false" customHeight="false" outlineLevel="0" collapsed="false">
      <c r="A1" s="1" t="s">
        <v>403</v>
      </c>
    </row>
    <row r="3" customFormat="false" ht="15" hidden="false" customHeight="false" outlineLevel="0" collapsed="false">
      <c r="A3" s="8" t="s">
        <v>404</v>
      </c>
    </row>
    <row r="4" customFormat="false" ht="15" hidden="false" customHeight="false" outlineLevel="0" collapsed="false">
      <c r="A4" s="4" t="s">
        <v>405</v>
      </c>
      <c r="B4" s="40" t="n">
        <v>0.005</v>
      </c>
      <c r="C4" s="40" t="n">
        <v>0.01</v>
      </c>
      <c r="D4" s="40" t="n">
        <v>0.015</v>
      </c>
      <c r="E4" s="40" t="n">
        <v>0.02</v>
      </c>
      <c r="F4" s="40" t="n">
        <v>0.025</v>
      </c>
    </row>
    <row r="5" customFormat="false" ht="15" hidden="false" customHeight="false" outlineLevel="0" collapsed="false">
      <c r="A5" s="41" t="n">
        <v>0.0825</v>
      </c>
      <c r="B5" s="7" t="n">
        <f aca="false">MAX(SUMPRODUCT(DCF_Base!$B$22:$K$22,1/(1+$A5)^DCF_Base!$B$5:$K$5)+((DCF_Base!$K$6*(1+B$4)*DCF_Base!$K$8-DCF_Base!$B$32-Drivers!$C$58-Drivers!$B$38)*(1-Drivers!$B$42))*(1-B$4/$A5)/($A5-B$4)/(1+$A5)^9.5-Drivers!$B$31,0)*Drivers!$B$22/Drivers!$B$5</f>
        <v>5.05449895460842</v>
      </c>
      <c r="C5" s="7" t="n">
        <f aca="false">MAX(SUMPRODUCT(DCF_Base!$B$22:$K$22,1/(1+$A5)^DCF_Base!$B$5:$K$5)+((DCF_Base!$K$6*(1+C$4)*DCF_Base!$K$8-DCF_Base!$B$32-Drivers!$C$58-Drivers!$B$38)*(1-Drivers!$B$42))*(1-C$4/$A5)/($A5-C$4)/(1+$A5)^9.5-Drivers!$B$31,0)*Drivers!$B$22/Drivers!$B$5</f>
        <v>5.15250788321276</v>
      </c>
      <c r="D5" s="7" t="n">
        <f aca="false">MAX(SUMPRODUCT(DCF_Base!$B$22:$K$22,1/(1+$A5)^DCF_Base!$B$5:$K$5)+((DCF_Base!$K$6*(1+D$4)*DCF_Base!$K$8-DCF_Base!$B$32-Drivers!$C$58-Drivers!$B$38)*(1-Drivers!$B$42))*(1-D$4/$A5)/($A5-D$4)/(1+$A5)^9.5-Drivers!$B$31,0)*Drivers!$B$22/Drivers!$B$5</f>
        <v>5.25051681181709</v>
      </c>
      <c r="E5" s="7" t="n">
        <f aca="false">MAX(SUMPRODUCT(DCF_Base!$B$22:$K$22,1/(1+$A5)^DCF_Base!$B$5:$K$5)+((DCF_Base!$K$6*(1+E$4)*DCF_Base!$K$8-DCF_Base!$B$32-Drivers!$C$58-Drivers!$B$38)*(1-Drivers!$B$42))*(1-E$4/$A5)/($A5-E$4)/(1+$A5)^9.5-Drivers!$B$31,0)*Drivers!$B$22/Drivers!$B$5</f>
        <v>5.34852574042142</v>
      </c>
      <c r="F5" s="7" t="n">
        <f aca="false">MAX(SUMPRODUCT(DCF_Base!$B$22:$K$22,1/(1+$A5)^DCF_Base!$B$5:$K$5)+((DCF_Base!$K$6*(1+F$4)*DCF_Base!$K$8-DCF_Base!$B$32-Drivers!$C$58-Drivers!$B$38)*(1-Drivers!$B$42))*(1-F$4/$A5)/($A5-F$4)/(1+$A5)^9.5-Drivers!$B$31,0)*Drivers!$B$22/Drivers!$B$5</f>
        <v>5.44653466902576</v>
      </c>
    </row>
    <row r="6" customFormat="false" ht="15" hidden="false" customHeight="false" outlineLevel="0" collapsed="false">
      <c r="A6" s="41" t="n">
        <v>0.0875</v>
      </c>
      <c r="B6" s="7" t="n">
        <f aca="false">MAX(SUMPRODUCT(DCF_Base!$B$22:$K$22,1/(1+$A6)^DCF_Base!$B$5:$K$5)+((DCF_Base!$K$6*(1+B$4)*DCF_Base!$K$8-DCF_Base!$B$32-Drivers!$C$58-Drivers!$B$38)*(1-Drivers!$B$42))*(1-B$4/$A6)/($A6-B$4)/(1+$A6)^9.5-Drivers!$B$31,0)*Drivers!$B$22/Drivers!$B$5</f>
        <v>3.35312463017212</v>
      </c>
      <c r="C6" s="7" t="n">
        <f aca="false">MAX(SUMPRODUCT(DCF_Base!$B$22:$K$22,1/(1+$A6)^DCF_Base!$B$5:$K$5)+((DCF_Base!$K$6*(1+C$4)*DCF_Base!$K$8-DCF_Base!$B$32-Drivers!$C$58-Drivers!$B$38)*(1-Drivers!$B$42))*(1-C$4/$A6)/($A6-C$4)/(1+$A6)^9.5-Drivers!$B$31,0)*Drivers!$B$22/Drivers!$B$5</f>
        <v>3.44157478785919</v>
      </c>
      <c r="D6" s="7" t="n">
        <f aca="false">MAX(SUMPRODUCT(DCF_Base!$B$22:$K$22,1/(1+$A6)^DCF_Base!$B$5:$K$5)+((DCF_Base!$K$6*(1+D$4)*DCF_Base!$K$8-DCF_Base!$B$32-Drivers!$C$58-Drivers!$B$38)*(1-Drivers!$B$42))*(1-D$4/$A6)/($A6-D$4)/(1+$A6)^9.5-Drivers!$B$31,0)*Drivers!$B$22/Drivers!$B$5</f>
        <v>3.53002494554626</v>
      </c>
      <c r="E6" s="7" t="n">
        <f aca="false">MAX(SUMPRODUCT(DCF_Base!$B$22:$K$22,1/(1+$A6)^DCF_Base!$B$5:$K$5)+((DCF_Base!$K$6*(1+E$4)*DCF_Base!$K$8-DCF_Base!$B$32-Drivers!$C$58-Drivers!$B$38)*(1-Drivers!$B$42))*(1-E$4/$A6)/($A6-E$4)/(1+$A6)^9.5-Drivers!$B$31,0)*Drivers!$B$22/Drivers!$B$5</f>
        <v>3.61847510323332</v>
      </c>
      <c r="F6" s="7" t="n">
        <f aca="false">MAX(SUMPRODUCT(DCF_Base!$B$22:$K$22,1/(1+$A6)^DCF_Base!$B$5:$K$5)+((DCF_Base!$K$6*(1+F$4)*DCF_Base!$K$8-DCF_Base!$B$32-Drivers!$C$58-Drivers!$B$38)*(1-Drivers!$B$42))*(1-F$4/$A6)/($A6-F$4)/(1+$A6)^9.5-Drivers!$B$31,0)*Drivers!$B$22/Drivers!$B$5</f>
        <v>3.70692526092039</v>
      </c>
    </row>
    <row r="7" customFormat="false" ht="15" hidden="false" customHeight="false" outlineLevel="0" collapsed="false">
      <c r="A7" s="41" t="n">
        <v>0.0925</v>
      </c>
      <c r="B7" s="7" t="n">
        <f aca="false">MAX(SUMPRODUCT(DCF_Base!$B$22:$K$22,1/(1+$A7)^DCF_Base!$B$5:$K$5)+((DCF_Base!$K$6*(1+B$4)*DCF_Base!$K$8-DCF_Base!$B$32-Drivers!$C$58-Drivers!$B$38)*(1-Drivers!$B$42))*(1-B$4/$A7)/($A7-B$4)/(1+$A7)^9.5-Drivers!$B$31,0)*Drivers!$B$22/Drivers!$B$5</f>
        <v>1.84157152140803</v>
      </c>
      <c r="C7" s="7" t="n">
        <f aca="false">MAX(SUMPRODUCT(DCF_Base!$B$22:$K$22,1/(1+$A7)^DCF_Base!$B$5:$K$5)+((DCF_Base!$K$6*(1+C$4)*DCF_Base!$K$8-DCF_Base!$B$32-Drivers!$C$58-Drivers!$B$38)*(1-Drivers!$B$42))*(1-C$4/$A7)/($A7-C$4)/(1+$A7)^9.5-Drivers!$B$31,0)*Drivers!$B$22/Drivers!$B$5</f>
        <v>1.92167275816891</v>
      </c>
      <c r="D7" s="7" t="n">
        <f aca="false">MAX(SUMPRODUCT(DCF_Base!$B$22:$K$22,1/(1+$A7)^DCF_Base!$B$5:$K$5)+((DCF_Base!$K$6*(1+D$4)*DCF_Base!$K$8-DCF_Base!$B$32-Drivers!$C$58-Drivers!$B$38)*(1-Drivers!$B$42))*(1-D$4/$A7)/($A7-D$4)/(1+$A7)^9.5-Drivers!$B$31,0)*Drivers!$B$22/Drivers!$B$5</f>
        <v>2.00177399492978</v>
      </c>
      <c r="E7" s="7" t="n">
        <f aca="false">MAX(SUMPRODUCT(DCF_Base!$B$22:$K$22,1/(1+$A7)^DCF_Base!$B$5:$K$5)+((DCF_Base!$K$6*(1+E$4)*DCF_Base!$K$8-DCF_Base!$B$32-Drivers!$C$58-Drivers!$B$38)*(1-Drivers!$B$42))*(1-E$4/$A7)/($A7-E$4)/(1+$A7)^9.5-Drivers!$B$31,0)*Drivers!$B$22/Drivers!$B$5</f>
        <v>2.08187523169065</v>
      </c>
      <c r="F7" s="7" t="n">
        <f aca="false">MAX(SUMPRODUCT(DCF_Base!$B$22:$K$22,1/(1+$A7)^DCF_Base!$B$5:$K$5)+((DCF_Base!$K$6*(1+F$4)*DCF_Base!$K$8-DCF_Base!$B$32-Drivers!$C$58-Drivers!$B$38)*(1-Drivers!$B$42))*(1-F$4/$A7)/($A7-F$4)/(1+$A7)^9.5-Drivers!$B$31,0)*Drivers!$B$22/Drivers!$B$5</f>
        <v>2.16197646845152</v>
      </c>
    </row>
    <row r="8" customFormat="false" ht="15" hidden="false" customHeight="false" outlineLevel="0" collapsed="false">
      <c r="A8" s="41" t="n">
        <v>0.0975</v>
      </c>
      <c r="B8" s="7" t="n">
        <f aca="false">MAX(SUMPRODUCT(DCF_Base!$B$22:$K$22,1/(1+$A8)^DCF_Base!$B$5:$K$5)+((DCF_Base!$K$6*(1+B$4)*DCF_Base!$K$8-DCF_Base!$B$32-Drivers!$C$58-Drivers!$B$38)*(1-Drivers!$B$42))*(1-B$4/$A8)/($A8-B$4)/(1+$A8)^9.5-Drivers!$B$31,0)*Drivers!$B$22/Drivers!$B$5</f>
        <v>0.490336919331736</v>
      </c>
      <c r="C8" s="7" t="n">
        <f aca="false">MAX(SUMPRODUCT(DCF_Base!$B$22:$K$22,1/(1+$A8)^DCF_Base!$B$5:$K$5)+((DCF_Base!$K$6*(1+C$4)*DCF_Base!$K$8-DCF_Base!$B$32-Drivers!$C$58-Drivers!$B$38)*(1-Drivers!$B$42))*(1-C$4/$A8)/($A8-C$4)/(1+$A8)^9.5-Drivers!$B$31,0)*Drivers!$B$22/Drivers!$B$5</f>
        <v>0.563104351142949</v>
      </c>
      <c r="D8" s="7" t="n">
        <f aca="false">MAX(SUMPRODUCT(DCF_Base!$B$22:$K$22,1/(1+$A8)^DCF_Base!$B$5:$K$5)+((DCF_Base!$K$6*(1+D$4)*DCF_Base!$K$8-DCF_Base!$B$32-Drivers!$C$58-Drivers!$B$38)*(1-Drivers!$B$42))*(1-D$4/$A8)/($A8-D$4)/(1+$A8)^9.5-Drivers!$B$31,0)*Drivers!$B$22/Drivers!$B$5</f>
        <v>0.635871782954155</v>
      </c>
      <c r="E8" s="7" t="n">
        <f aca="false">MAX(SUMPRODUCT(DCF_Base!$B$22:$K$22,1/(1+$A8)^DCF_Base!$B$5:$K$5)+((DCF_Base!$K$6*(1+E$4)*DCF_Base!$K$8-DCF_Base!$B$32-Drivers!$C$58-Drivers!$B$38)*(1-Drivers!$B$42))*(1-E$4/$A8)/($A8-E$4)/(1+$A8)^9.5-Drivers!$B$31,0)*Drivers!$B$22/Drivers!$B$5</f>
        <v>0.708639214765367</v>
      </c>
      <c r="F8" s="7" t="n">
        <f aca="false">MAX(SUMPRODUCT(DCF_Base!$B$22:$K$22,1/(1+$A8)^DCF_Base!$B$5:$K$5)+((DCF_Base!$K$6*(1+F$4)*DCF_Base!$K$8-DCF_Base!$B$32-Drivers!$C$58-Drivers!$B$38)*(1-Drivers!$B$42))*(1-F$4/$A8)/($A8-F$4)/(1+$A8)^9.5-Drivers!$B$31,0)*Drivers!$B$22/Drivers!$B$5</f>
        <v>0.781406646576573</v>
      </c>
    </row>
    <row r="9" customFormat="false" ht="15" hidden="false" customHeight="false" outlineLevel="0" collapsed="false">
      <c r="A9" s="41" t="n">
        <v>0.1025</v>
      </c>
      <c r="B9" s="7" t="n">
        <f aca="false">MAX(SUMPRODUCT(DCF_Base!$B$22:$K$22,1/(1+$A9)^DCF_Base!$B$5:$K$5)+((DCF_Base!$K$6*(1+B$4)*DCF_Base!$K$8-DCF_Base!$B$32-Drivers!$C$58-Drivers!$B$38)*(1-Drivers!$B$42))*(1-B$4/$A9)/($A9-B$4)/(1+$A9)^9.5-Drivers!$B$31,0)*Drivers!$B$22/Drivers!$B$5</f>
        <v>0</v>
      </c>
      <c r="C9" s="7" t="n">
        <f aca="false">MAX(SUMPRODUCT(DCF_Base!$B$22:$K$22,1/(1+$A9)^DCF_Base!$B$5:$K$5)+((DCF_Base!$K$6*(1+C$4)*DCF_Base!$K$8-DCF_Base!$B$32-Drivers!$C$58-Drivers!$B$38)*(1-Drivers!$B$42))*(1-C$4/$A9)/($A9-C$4)/(1+$A9)^9.5-Drivers!$B$31,0)*Drivers!$B$22/Drivers!$B$5</f>
        <v>0</v>
      </c>
      <c r="D9" s="7" t="n">
        <f aca="false">MAX(SUMPRODUCT(DCF_Base!$B$22:$K$22,1/(1+$A9)^DCF_Base!$B$5:$K$5)+((DCF_Base!$K$6*(1+D$4)*DCF_Base!$K$8-DCF_Base!$B$32-Drivers!$C$58-Drivers!$B$38)*(1-Drivers!$B$42))*(1-D$4/$A9)/($A9-D$4)/(1+$A9)^9.5-Drivers!$B$31,0)*Drivers!$B$22/Drivers!$B$5</f>
        <v>0</v>
      </c>
      <c r="E9" s="7" t="n">
        <f aca="false">MAX(SUMPRODUCT(DCF_Base!$B$22:$K$22,1/(1+$A9)^DCF_Base!$B$5:$K$5)+((DCF_Base!$K$6*(1+E$4)*DCF_Base!$K$8-DCF_Base!$B$32-Drivers!$C$58-Drivers!$B$38)*(1-Drivers!$B$42))*(1-E$4/$A9)/($A9-E$4)/(1+$A9)^9.5-Drivers!$B$31,0)*Drivers!$B$22/Drivers!$B$5</f>
        <v>0</v>
      </c>
      <c r="F9" s="7" t="n">
        <f aca="false">MAX(SUMPRODUCT(DCF_Base!$B$22:$K$22,1/(1+$A9)^DCF_Base!$B$5:$K$5)+((DCF_Base!$K$6*(1+F$4)*DCF_Base!$K$8-DCF_Base!$B$32-Drivers!$C$58-Drivers!$B$38)*(1-Drivers!$B$42))*(1-F$4/$A9)/($A9-F$4)/(1+$A9)^9.5-Drivers!$B$31,0)*Drivers!$B$22/Drivers!$B$5</f>
        <v>0</v>
      </c>
    </row>
    <row r="12" customFormat="false" ht="15" hidden="false" customHeight="false" outlineLevel="0" collapsed="false">
      <c r="A12" s="8" t="s">
        <v>406</v>
      </c>
    </row>
    <row r="13" customFormat="false" ht="15" hidden="false" customHeight="false" outlineLevel="0" collapsed="false">
      <c r="A13" s="4" t="s">
        <v>407</v>
      </c>
      <c r="B13" s="40" t="n">
        <v>0.04</v>
      </c>
      <c r="C13" s="40" t="n">
        <v>0.045</v>
      </c>
      <c r="D13" s="40" t="n">
        <v>0.05</v>
      </c>
      <c r="E13" s="40" t="n">
        <v>0.055</v>
      </c>
      <c r="F13" s="40" t="n">
        <v>0.06</v>
      </c>
      <c r="G13" s="40" t="n">
        <v>0.065</v>
      </c>
      <c r="H13" s="40" t="n">
        <v>0.07</v>
      </c>
      <c r="I13" s="40" t="n">
        <v>0.075</v>
      </c>
      <c r="J13" s="40" t="n">
        <v>0.08</v>
      </c>
      <c r="K13" s="40" t="n">
        <v>0.09</v>
      </c>
      <c r="L13" s="40" t="n">
        <v>0.1</v>
      </c>
    </row>
    <row r="14" customFormat="false" ht="15" hidden="false" customHeight="false" outlineLevel="0" collapsed="false">
      <c r="A14" s="4" t="s">
        <v>56</v>
      </c>
      <c r="B14" s="14" t="n">
        <v>0</v>
      </c>
      <c r="C14" s="14" t="n">
        <v>0</v>
      </c>
      <c r="D14" s="14" t="n">
        <v>0</v>
      </c>
      <c r="E14" s="14" t="n">
        <v>0</v>
      </c>
      <c r="F14" s="14" t="n">
        <v>1.2917</v>
      </c>
      <c r="G14" s="14" t="n">
        <v>4.0783</v>
      </c>
      <c r="H14" s="14" t="n">
        <v>6.8648</v>
      </c>
      <c r="I14" s="14" t="n">
        <v>9.6513</v>
      </c>
      <c r="J14" s="14" t="n">
        <v>12.4135</v>
      </c>
      <c r="K14" s="14" t="n">
        <v>17.9143</v>
      </c>
      <c r="L14" s="14" t="n">
        <v>23.4152</v>
      </c>
    </row>
    <row r="17" customFormat="false" ht="15" hidden="false" customHeight="false" outlineLevel="0" collapsed="false">
      <c r="A17" s="8" t="s">
        <v>408</v>
      </c>
    </row>
    <row r="18" customFormat="false" ht="15" hidden="false" customHeight="false" outlineLevel="0" collapsed="false">
      <c r="A18" s="3" t="s">
        <v>409</v>
      </c>
      <c r="B18" s="3" t="s">
        <v>410</v>
      </c>
      <c r="C18" s="3" t="s">
        <v>411</v>
      </c>
    </row>
    <row r="19" customFormat="false" ht="15" hidden="false" customHeight="false" outlineLevel="0" collapsed="false">
      <c r="A19" s="4" t="s">
        <v>412</v>
      </c>
      <c r="B19" s="14" t="n">
        <v>0</v>
      </c>
      <c r="C19" s="14" t="n">
        <v>6.8648</v>
      </c>
    </row>
    <row r="20" customFormat="false" ht="15" hidden="false" customHeight="false" outlineLevel="0" collapsed="false">
      <c r="A20" s="4" t="s">
        <v>413</v>
      </c>
      <c r="B20" s="14" t="n">
        <v>0</v>
      </c>
      <c r="C20" s="14" t="n">
        <v>5.2505</v>
      </c>
    </row>
    <row r="21" customFormat="false" ht="15" hidden="false" customHeight="false" outlineLevel="0" collapsed="false">
      <c r="A21" s="4" t="s">
        <v>414</v>
      </c>
      <c r="B21" s="14" t="n">
        <v>1.781</v>
      </c>
      <c r="C21" s="14" t="n">
        <v>2.2226</v>
      </c>
    </row>
    <row r="22" customFormat="false" ht="15" hidden="false" customHeight="false" outlineLevel="0" collapsed="false">
      <c r="A22" s="4" t="s">
        <v>415</v>
      </c>
      <c r="B22" s="14" t="n">
        <v>1.8416</v>
      </c>
      <c r="C22" s="14" t="n">
        <v>2.162</v>
      </c>
    </row>
    <row r="23" customFormat="false" ht="15" hidden="false" customHeight="false" outlineLevel="0" collapsed="false">
      <c r="A23" s="4" t="s">
        <v>416</v>
      </c>
      <c r="B23" s="14" t="n">
        <v>0.3608</v>
      </c>
      <c r="C23" s="14" t="n">
        <v>3.6913</v>
      </c>
    </row>
    <row r="24" customFormat="false" ht="15" hidden="false" customHeight="false" outlineLevel="0" collapsed="false">
      <c r="A24" s="4" t="s">
        <v>417</v>
      </c>
      <c r="B24" s="14" t="n">
        <v>0.7288</v>
      </c>
      <c r="C24" s="14" t="n">
        <v>3.2119</v>
      </c>
    </row>
    <row r="25" customFormat="false" ht="15" hidden="false" customHeight="false" outlineLevel="0" collapsed="false">
      <c r="A25" s="4" t="s">
        <v>418</v>
      </c>
      <c r="B25" s="14" t="n">
        <v>1.5688</v>
      </c>
      <c r="C25" s="14" t="n">
        <v>2.3482</v>
      </c>
    </row>
    <row r="26" customFormat="false" ht="15" hidden="false" customHeight="false" outlineLevel="0" collapsed="false">
      <c r="A26" s="4" t="s">
        <v>419</v>
      </c>
      <c r="B26" s="14" t="n">
        <v>1.3752</v>
      </c>
      <c r="C26" s="14" t="n">
        <v>2.6283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5" min="2" style="0" width="13"/>
  </cols>
  <sheetData>
    <row r="1" customFormat="false" ht="16.15" hidden="false" customHeight="false" outlineLevel="0" collapsed="false">
      <c r="A1" s="1" t="s">
        <v>420</v>
      </c>
    </row>
    <row r="3" customFormat="false" ht="15" hidden="false" customHeight="false" outlineLevel="0" collapsed="false">
      <c r="A3" s="3" t="s">
        <v>421</v>
      </c>
      <c r="B3" s="3" t="s">
        <v>422</v>
      </c>
      <c r="C3" s="3" t="s">
        <v>423</v>
      </c>
      <c r="D3" s="3" t="s">
        <v>424</v>
      </c>
      <c r="E3" s="3" t="s">
        <v>425</v>
      </c>
      <c r="F3" s="3" t="s">
        <v>426</v>
      </c>
      <c r="G3" s="3" t="s">
        <v>427</v>
      </c>
      <c r="H3" s="3" t="s">
        <v>428</v>
      </c>
      <c r="I3" s="3" t="s">
        <v>429</v>
      </c>
      <c r="J3" s="3" t="s">
        <v>430</v>
      </c>
      <c r="K3" s="3" t="s">
        <v>431</v>
      </c>
      <c r="L3" s="3" t="s">
        <v>432</v>
      </c>
    </row>
    <row r="4" customFormat="false" ht="15" hidden="false" customHeight="false" outlineLevel="0" collapsed="false">
      <c r="A4" s="4" t="s">
        <v>433</v>
      </c>
      <c r="B4" s="24" t="n">
        <v>16443</v>
      </c>
      <c r="C4" s="24" t="n">
        <v>15158</v>
      </c>
      <c r="D4" s="24" t="n">
        <v>15377</v>
      </c>
      <c r="E4" s="24" t="n">
        <v>15475</v>
      </c>
      <c r="F4" s="24" t="n">
        <v>14745</v>
      </c>
      <c r="G4" s="24" t="n">
        <v>12321</v>
      </c>
      <c r="H4" s="24" t="n">
        <v>17478</v>
      </c>
      <c r="I4" s="24" t="n">
        <v>20805</v>
      </c>
      <c r="J4" s="24" t="n">
        <v>20066</v>
      </c>
      <c r="K4" s="24" t="n">
        <v>18878</v>
      </c>
      <c r="L4" s="24" t="n">
        <v>18280</v>
      </c>
    </row>
    <row r="5" customFormat="false" ht="15" hidden="false" customHeight="false" outlineLevel="0" collapsed="false">
      <c r="A5" s="4" t="s">
        <v>434</v>
      </c>
      <c r="B5" s="35" t="n">
        <v>166.2</v>
      </c>
      <c r="C5" s="35" t="n">
        <v>166.1</v>
      </c>
      <c r="D5" s="35" t="n">
        <v>159.2</v>
      </c>
      <c r="E5" s="35" t="n">
        <v>159.2</v>
      </c>
      <c r="F5" s="35" t="n">
        <v>155.3</v>
      </c>
      <c r="G5" s="35" t="n">
        <v>126</v>
      </c>
      <c r="H5" s="35" t="n">
        <v>169.3</v>
      </c>
      <c r="I5" s="35" t="n">
        <v>184.5</v>
      </c>
      <c r="J5" s="35" t="n">
        <v>173.3</v>
      </c>
      <c r="K5" s="35" t="n">
        <v>166.6</v>
      </c>
      <c r="L5" s="35" t="n">
        <v>158.7</v>
      </c>
    </row>
    <row r="6" customFormat="false" ht="15" hidden="false" customHeight="false" outlineLevel="0" collapsed="false">
      <c r="A6" s="4" t="s">
        <v>435</v>
      </c>
      <c r="B6" s="14" t="n">
        <v>98.9</v>
      </c>
      <c r="C6" s="14" t="n">
        <v>91.3</v>
      </c>
      <c r="D6" s="14" t="n">
        <v>96.6</v>
      </c>
      <c r="E6" s="14" t="n">
        <v>97.2</v>
      </c>
      <c r="F6" s="14" t="n">
        <v>94.9</v>
      </c>
      <c r="G6" s="14" t="n">
        <v>97.8</v>
      </c>
      <c r="H6" s="14" t="n">
        <v>103.2</v>
      </c>
      <c r="I6" s="14" t="n">
        <v>112.8</v>
      </c>
      <c r="J6" s="14" t="n">
        <v>115.8</v>
      </c>
      <c r="K6" s="14" t="n">
        <v>113.3</v>
      </c>
      <c r="L6" s="14" t="n">
        <v>115.2</v>
      </c>
    </row>
    <row r="7" customFormat="false" ht="15" hidden="false" customHeight="false" outlineLevel="0" collapsed="false">
      <c r="A7" s="4" t="s">
        <v>436</v>
      </c>
      <c r="B7" s="24" t="n">
        <v>2020</v>
      </c>
      <c r="C7" s="24" t="n">
        <v>1996</v>
      </c>
      <c r="D7" s="24" t="n">
        <v>1556</v>
      </c>
      <c r="E7" s="24" t="n">
        <v>1274</v>
      </c>
      <c r="F7" s="24" t="n">
        <v>945</v>
      </c>
      <c r="G7" s="24" t="n">
        <v>-14</v>
      </c>
      <c r="H7" s="24" t="n">
        <v>1288</v>
      </c>
      <c r="I7" s="24" t="n">
        <v>1276</v>
      </c>
      <c r="J7" s="24" t="n">
        <v>943</v>
      </c>
      <c r="K7" s="24" t="n">
        <v>1302</v>
      </c>
      <c r="L7" s="24" t="n">
        <v>1057</v>
      </c>
    </row>
    <row r="8" customFormat="false" ht="15" hidden="false" customHeight="false" outlineLevel="0" collapsed="false">
      <c r="A8" s="4" t="s">
        <v>437</v>
      </c>
      <c r="B8" s="16" t="n">
        <v>0.122848628595755</v>
      </c>
      <c r="C8" s="16" t="n">
        <v>0.131679641113603</v>
      </c>
      <c r="D8" s="16" t="n">
        <v>0.101190089094102</v>
      </c>
      <c r="E8" s="16" t="n">
        <v>0.0823263327948304</v>
      </c>
      <c r="F8" s="16" t="n">
        <v>0.064089521871821</v>
      </c>
      <c r="G8" s="16" t="n">
        <v>-0.00113627140654168</v>
      </c>
      <c r="H8" s="16" t="n">
        <v>0.073692642178739</v>
      </c>
      <c r="I8" s="16" t="n">
        <v>0.0613314107185773</v>
      </c>
      <c r="J8" s="16" t="n">
        <v>0.0469949167746437</v>
      </c>
      <c r="K8" s="16" t="n">
        <v>0.0689691704629728</v>
      </c>
      <c r="L8" s="16" t="n">
        <v>0.0578227571115974</v>
      </c>
    </row>
    <row r="9" customFormat="false" ht="15" hidden="false" customHeight="false" outlineLevel="0" collapsed="false">
      <c r="A9" s="4" t="s">
        <v>438</v>
      </c>
      <c r="B9" s="24" t="n">
        <v>1266</v>
      </c>
      <c r="C9" s="24" t="n">
        <v>1151</v>
      </c>
      <c r="D9" s="24" t="n">
        <v>847</v>
      </c>
      <c r="E9" s="24" t="n">
        <v>654</v>
      </c>
      <c r="F9" s="24" t="n">
        <v>550</v>
      </c>
      <c r="G9" s="24" t="n">
        <v>9</v>
      </c>
      <c r="H9" s="24" t="n">
        <v>914</v>
      </c>
      <c r="I9" s="24" t="n">
        <v>1094</v>
      </c>
      <c r="J9" s="24" t="n">
        <v>749</v>
      </c>
      <c r="K9" s="24" t="n">
        <v>933</v>
      </c>
      <c r="L9" s="24" t="n">
        <v>735</v>
      </c>
    </row>
    <row r="10" customFormat="false" ht="15" hidden="false" customHeight="false" outlineLevel="0" collapsed="false">
      <c r="A10" s="4" t="s">
        <v>439</v>
      </c>
      <c r="B10" s="24" t="n">
        <v>435</v>
      </c>
      <c r="C10" s="24" t="n">
        <v>472</v>
      </c>
      <c r="D10" s="24" t="n">
        <v>367</v>
      </c>
      <c r="E10" s="24" t="n">
        <v>363</v>
      </c>
      <c r="F10" s="24" t="n">
        <v>202</v>
      </c>
      <c r="G10" s="24" t="n">
        <v>-72</v>
      </c>
      <c r="H10" s="24" t="n">
        <v>239</v>
      </c>
      <c r="I10" s="24" t="n">
        <v>61</v>
      </c>
      <c r="J10" s="24" t="n">
        <v>-8</v>
      </c>
      <c r="K10" s="24" t="n">
        <v>92</v>
      </c>
      <c r="L10" s="24" t="n">
        <v>114</v>
      </c>
    </row>
    <row r="11" customFormat="false" ht="15" hidden="false" customHeight="false" outlineLevel="0" collapsed="false">
      <c r="A11" s="4" t="s">
        <v>440</v>
      </c>
      <c r="B11" s="24" t="n">
        <v>319</v>
      </c>
      <c r="C11" s="24" t="n">
        <v>373</v>
      </c>
      <c r="D11" s="24" t="n">
        <v>342</v>
      </c>
      <c r="E11" s="24" t="n">
        <v>257</v>
      </c>
      <c r="F11" s="24" t="n">
        <v>193</v>
      </c>
      <c r="G11" s="24" t="n">
        <v>49</v>
      </c>
      <c r="H11" s="24" t="n">
        <v>135</v>
      </c>
      <c r="I11" s="24" t="n">
        <v>121</v>
      </c>
      <c r="J11" s="24" t="n">
        <v>202</v>
      </c>
      <c r="K11" s="24" t="n">
        <v>277</v>
      </c>
      <c r="L11" s="24" t="n">
        <v>208</v>
      </c>
    </row>
    <row r="12" customFormat="false" ht="15" hidden="false" customHeight="false" outlineLevel="0" collapsed="false">
      <c r="A12" s="4" t="s">
        <v>441</v>
      </c>
      <c r="B12" s="16" t="n">
        <v>0.135112059765208</v>
      </c>
      <c r="C12" s="16" t="n">
        <v>0.140846793930494</v>
      </c>
      <c r="D12" s="16" t="n">
        <v>0.103141743789576</v>
      </c>
      <c r="E12" s="16" t="n">
        <v>0.0800685602350637</v>
      </c>
      <c r="F12" s="16" t="n">
        <v>0.0694269123958596</v>
      </c>
      <c r="G12" s="16" t="n">
        <v>0.00137278828553996</v>
      </c>
      <c r="H12" s="16" t="n">
        <v>0.0909362252512188</v>
      </c>
      <c r="I12" s="16" t="n">
        <v>0.0856963810120633</v>
      </c>
      <c r="J12" s="16" t="n">
        <v>0.0624530976402902</v>
      </c>
      <c r="K12" s="16" t="n">
        <v>0.0845644883531225</v>
      </c>
      <c r="L12" s="16" t="n">
        <v>0.0682578008915305</v>
      </c>
    </row>
    <row r="13" customFormat="false" ht="15" hidden="false" customHeight="false" outlineLevel="0" collapsed="false">
      <c r="A13" s="4" t="s">
        <v>442</v>
      </c>
      <c r="B13" s="16" t="n">
        <v>0.0850439882697947</v>
      </c>
      <c r="C13" s="16" t="n">
        <v>0.0967213114754098</v>
      </c>
      <c r="D13" s="16" t="n">
        <v>0.0744724025974026</v>
      </c>
      <c r="E13" s="16" t="n">
        <v>0.0713163064833006</v>
      </c>
      <c r="F13" s="16" t="n">
        <v>0.0429056924384027</v>
      </c>
      <c r="G13" s="16" t="n">
        <v>-0.017910447761194</v>
      </c>
      <c r="H13" s="16" t="n">
        <v>0.0455845889757772</v>
      </c>
      <c r="I13" s="16" t="n">
        <v>0.0108060230292294</v>
      </c>
      <c r="J13" s="16" t="n">
        <v>-0.00142704245451302</v>
      </c>
      <c r="K13" s="16" t="n">
        <v>0.0169585253456221</v>
      </c>
      <c r="L13" s="16" t="n">
        <v>0.0205405405405405</v>
      </c>
    </row>
    <row r="14" customFormat="false" ht="15" hidden="false" customHeight="false" outlineLevel="0" collapsed="false">
      <c r="A14" s="4" t="s">
        <v>443</v>
      </c>
      <c r="B14" s="16" t="n">
        <v>0.162921348314607</v>
      </c>
      <c r="C14" s="16" t="n">
        <v>0.177113010446344</v>
      </c>
      <c r="D14" s="16" t="n">
        <v>0.152883325882879</v>
      </c>
      <c r="E14" s="16" t="n">
        <v>0.115922417681552</v>
      </c>
      <c r="F14" s="16" t="n">
        <v>0.0912529550827423</v>
      </c>
      <c r="G14" s="16" t="n">
        <v>0.028080229226361</v>
      </c>
      <c r="H14" s="16" t="n">
        <v>0.0618131868131868</v>
      </c>
      <c r="I14" s="16" t="n">
        <v>0.0505430242272348</v>
      </c>
      <c r="J14" s="16" t="n">
        <v>0.0818808269152817</v>
      </c>
      <c r="K14" s="16" t="n">
        <v>0.114462809917355</v>
      </c>
      <c r="L14" s="16" t="n">
        <v>0.106014271151886</v>
      </c>
    </row>
    <row r="15" customFormat="false" ht="15" hidden="false" customHeight="false" outlineLevel="0" collapsed="false">
      <c r="A15" s="4" t="s">
        <v>444</v>
      </c>
      <c r="B15" s="24" t="n">
        <v>207</v>
      </c>
      <c r="C15" s="24" t="n">
        <v>168</v>
      </c>
      <c r="D15" s="24" t="n">
        <v>105</v>
      </c>
      <c r="E15" s="24" t="n">
        <v>64</v>
      </c>
      <c r="F15" s="24" t="n">
        <v>110</v>
      </c>
      <c r="G15" s="24" t="n">
        <v>89</v>
      </c>
      <c r="H15" s="24" t="n">
        <v>200</v>
      </c>
      <c r="I15" s="24" t="n">
        <v>160</v>
      </c>
      <c r="J15" s="24" t="n">
        <v>175</v>
      </c>
      <c r="K15" s="24" t="n">
        <v>128</v>
      </c>
      <c r="L15" s="24" t="n">
        <v>168</v>
      </c>
    </row>
    <row r="16" customFormat="false" ht="15" hidden="false" customHeight="false" outlineLevel="0" collapsed="false">
      <c r="A16" s="4" t="s">
        <v>445</v>
      </c>
      <c r="B16" s="24" t="n">
        <v>114</v>
      </c>
      <c r="C16" s="24" t="n">
        <v>210</v>
      </c>
      <c r="D16" s="24" t="n">
        <v>135</v>
      </c>
      <c r="E16" s="24" t="n">
        <v>44</v>
      </c>
      <c r="F16" s="24" t="n">
        <v>205</v>
      </c>
      <c r="G16" s="24" t="n">
        <v>159</v>
      </c>
      <c r="H16" s="24" t="n">
        <v>93</v>
      </c>
      <c r="I16" s="24" t="n">
        <v>129</v>
      </c>
      <c r="J16" s="24" t="n">
        <v>502</v>
      </c>
      <c r="K16" s="24" t="n">
        <v>86</v>
      </c>
      <c r="L16" s="24" t="n">
        <v>194</v>
      </c>
    </row>
    <row r="17" customFormat="false" ht="15" hidden="false" customHeight="false" outlineLevel="0" collapsed="false">
      <c r="A17" s="4" t="s">
        <v>446</v>
      </c>
      <c r="B17" s="24" t="n">
        <v>144</v>
      </c>
      <c r="C17" s="24" t="n">
        <v>86</v>
      </c>
      <c r="D17" s="24" t="n">
        <v>154</v>
      </c>
      <c r="E17" s="24" t="n">
        <v>174</v>
      </c>
      <c r="F17" s="24" t="n">
        <v>59</v>
      </c>
      <c r="G17" s="24" t="n">
        <v>186</v>
      </c>
      <c r="H17" s="24" t="n">
        <v>197</v>
      </c>
      <c r="I17" s="24" t="n">
        <v>95</v>
      </c>
      <c r="J17" s="24" t="n">
        <v>99</v>
      </c>
      <c r="K17" s="24" t="n">
        <v>198</v>
      </c>
      <c r="L17" s="24" t="n">
        <v>431</v>
      </c>
    </row>
    <row r="18" customFormat="false" ht="15" hidden="false" customHeight="false" outlineLevel="0" collapsed="false">
      <c r="A18" s="4" t="s">
        <v>447</v>
      </c>
      <c r="B18" s="24" t="n">
        <v>0</v>
      </c>
      <c r="C18" s="24" t="n">
        <v>0</v>
      </c>
      <c r="D18" s="24" t="n">
        <v>0</v>
      </c>
      <c r="E18" s="24" t="n">
        <v>0</v>
      </c>
      <c r="F18" s="24" t="n">
        <v>0</v>
      </c>
      <c r="G18" s="24" t="n">
        <v>330</v>
      </c>
      <c r="H18" s="24" t="n">
        <v>0</v>
      </c>
      <c r="I18" s="24" t="n">
        <v>0</v>
      </c>
      <c r="J18" s="24" t="n">
        <v>230</v>
      </c>
      <c r="K18" s="24" t="n">
        <v>125</v>
      </c>
      <c r="L18" s="24" t="n">
        <v>674</v>
      </c>
    </row>
    <row r="19" customFormat="false" ht="15" hidden="false" customHeight="false" outlineLevel="0" collapsed="false">
      <c r="A19" s="4" t="s">
        <v>448</v>
      </c>
      <c r="B19" s="24" t="n">
        <v>698</v>
      </c>
      <c r="C19" s="24" t="n">
        <v>727</v>
      </c>
      <c r="D19" s="24" t="n">
        <v>781</v>
      </c>
      <c r="E19" s="24" t="n">
        <v>778</v>
      </c>
      <c r="F19" s="24" t="n">
        <v>795</v>
      </c>
      <c r="G19" s="24" t="n">
        <v>859</v>
      </c>
      <c r="H19" s="24" t="n">
        <v>883</v>
      </c>
      <c r="I19" s="24" t="n">
        <v>964</v>
      </c>
      <c r="J19" s="24" t="n">
        <v>1001</v>
      </c>
      <c r="K19" s="24" t="n">
        <v>1049</v>
      </c>
      <c r="L19" s="24" t="n">
        <v>1045</v>
      </c>
    </row>
    <row r="20" customFormat="false" ht="15" hidden="false" customHeight="false" outlineLevel="0" collapsed="false">
      <c r="A20" s="4" t="s">
        <v>449</v>
      </c>
      <c r="B20" s="24" t="n">
        <v>2511</v>
      </c>
      <c r="C20" s="24" t="n">
        <v>2555</v>
      </c>
      <c r="D20" s="24" t="n">
        <v>2232</v>
      </c>
      <c r="E20" s="24" t="n">
        <v>1988</v>
      </c>
      <c r="F20" s="24" t="n">
        <v>1630</v>
      </c>
      <c r="G20" s="24" t="n">
        <v>756</v>
      </c>
      <c r="H20" s="24" t="n">
        <v>1971</v>
      </c>
      <c r="I20" s="24" t="n">
        <v>2080</v>
      </c>
      <c r="J20" s="24" t="n">
        <v>1769</v>
      </c>
      <c r="K20" s="24" t="n">
        <v>2223</v>
      </c>
      <c r="L20" s="24" t="n">
        <v>1934</v>
      </c>
    </row>
    <row r="21" customFormat="false" ht="15" hidden="false" customHeight="false" outlineLevel="0" collapsed="false">
      <c r="A21" s="4" t="s">
        <v>450</v>
      </c>
      <c r="B21" s="24" t="n">
        <v>1663</v>
      </c>
      <c r="C21" s="24" t="n">
        <v>1678</v>
      </c>
      <c r="D21" s="24" t="n">
        <v>1301</v>
      </c>
      <c r="E21" s="24" t="n">
        <v>1060</v>
      </c>
      <c r="F21" s="24" t="n">
        <v>685</v>
      </c>
      <c r="G21" s="24" t="n">
        <v>-253</v>
      </c>
      <c r="H21" s="24" t="n">
        <v>938</v>
      </c>
      <c r="I21" s="24" t="n">
        <v>966</v>
      </c>
      <c r="J21" s="24" t="n">
        <v>618</v>
      </c>
      <c r="K21" s="24" t="n">
        <v>1024</v>
      </c>
      <c r="L21" s="24" t="n">
        <v>739</v>
      </c>
    </row>
    <row r="22" customFormat="false" ht="15" hidden="false" customHeight="false" outlineLevel="0" collapsed="false">
      <c r="A22" s="4" t="s">
        <v>451</v>
      </c>
      <c r="B22" s="16" t="n">
        <v>0.101137262056802</v>
      </c>
      <c r="C22" s="16" t="n">
        <v>0.110700620134582</v>
      </c>
      <c r="D22" s="16" t="n">
        <v>0.0846068804058009</v>
      </c>
      <c r="E22" s="16" t="n">
        <v>0.0684975767366721</v>
      </c>
      <c r="F22" s="16" t="n">
        <v>0.0464564259070872</v>
      </c>
      <c r="G22" s="16" t="n">
        <v>-0.0205340475610746</v>
      </c>
      <c r="H22" s="16" t="n">
        <v>0.0536674676736469</v>
      </c>
      <c r="I22" s="16" t="n">
        <v>0.0464311463590483</v>
      </c>
      <c r="J22" s="16" t="n">
        <v>0.0307983653941991</v>
      </c>
      <c r="K22" s="16" t="n">
        <v>0.0542430342197267</v>
      </c>
      <c r="L22" s="16" t="n">
        <v>0.0404266958424508</v>
      </c>
    </row>
    <row r="23" customFormat="false" ht="15" hidden="false" customHeight="false" outlineLevel="0" collapsed="false">
      <c r="A23" s="4" t="s">
        <v>452</v>
      </c>
      <c r="B23" s="24" t="n">
        <v>1247.25</v>
      </c>
      <c r="C23" s="24" t="n">
        <v>1258.5</v>
      </c>
      <c r="D23" s="24" t="n">
        <v>975.75</v>
      </c>
      <c r="E23" s="24" t="n">
        <v>795</v>
      </c>
      <c r="F23" s="24" t="n">
        <v>513.75</v>
      </c>
      <c r="G23" s="24" t="n">
        <v>-189.75</v>
      </c>
      <c r="H23" s="24" t="n">
        <v>703.5</v>
      </c>
      <c r="I23" s="24" t="n">
        <v>724.5</v>
      </c>
      <c r="J23" s="24" t="n">
        <v>463.5</v>
      </c>
      <c r="K23" s="24" t="n">
        <v>768</v>
      </c>
      <c r="L23" s="24" t="n">
        <v>554.25</v>
      </c>
    </row>
    <row r="24" customFormat="false" ht="15" hidden="false" customHeight="false" outlineLevel="0" collapsed="false">
      <c r="A24" s="4" t="s">
        <v>453</v>
      </c>
      <c r="B24" s="24" t="n">
        <v>438</v>
      </c>
      <c r="C24" s="24" t="n">
        <v>372</v>
      </c>
      <c r="D24" s="24" t="n">
        <v>335</v>
      </c>
      <c r="E24" s="24" t="n">
        <v>321</v>
      </c>
      <c r="F24" s="24" t="n">
        <v>340</v>
      </c>
      <c r="G24" s="24" t="n">
        <v>324</v>
      </c>
      <c r="H24" s="24" t="n">
        <v>387</v>
      </c>
      <c r="I24" s="24" t="n">
        <v>451</v>
      </c>
      <c r="J24" s="24" t="n">
        <v>532</v>
      </c>
      <c r="K24" s="24" t="n">
        <v>522</v>
      </c>
      <c r="L24" s="24" t="n">
        <v>445</v>
      </c>
    </row>
    <row r="25" customFormat="false" ht="15" hidden="false" customHeight="false" outlineLevel="0" collapsed="false">
      <c r="A25" s="4" t="s">
        <v>454</v>
      </c>
      <c r="B25" s="24" t="n">
        <v>307</v>
      </c>
      <c r="C25" s="24" t="n">
        <v>1264</v>
      </c>
      <c r="D25" s="24" t="n">
        <v>346</v>
      </c>
      <c r="E25" s="24" t="n">
        <v>693</v>
      </c>
      <c r="F25" s="24" t="n">
        <v>-311</v>
      </c>
      <c r="G25" s="24" t="n">
        <v>-1254</v>
      </c>
      <c r="H25" s="24" t="n">
        <v>764</v>
      </c>
      <c r="I25" s="24" t="n">
        <v>202</v>
      </c>
      <c r="J25" s="24" t="n">
        <v>-729</v>
      </c>
      <c r="K25" s="24" t="n">
        <v>46</v>
      </c>
      <c r="L25" s="24" t="n">
        <v>-1721</v>
      </c>
    </row>
    <row r="26" customFormat="false" ht="15" hidden="false" customHeight="false" outlineLevel="0" collapsed="false">
      <c r="A26" s="4" t="s">
        <v>455</v>
      </c>
      <c r="B26" s="14" t="n">
        <v>1.12</v>
      </c>
      <c r="C26" s="14" t="n">
        <v>4.74</v>
      </c>
      <c r="D26" s="14" t="n">
        <v>1.37</v>
      </c>
      <c r="E26" s="14" t="n">
        <v>2.89</v>
      </c>
      <c r="F26" s="14" t="n">
        <v>-1.33</v>
      </c>
      <c r="G26" s="14" t="n">
        <v>-5.35</v>
      </c>
      <c r="H26" s="14" t="n">
        <v>2.89</v>
      </c>
      <c r="I26" s="14" t="n">
        <v>0.71</v>
      </c>
      <c r="J26" s="14" t="n">
        <v>-2.56</v>
      </c>
      <c r="K26" s="14" t="n">
        <v>0.16</v>
      </c>
      <c r="L26" s="14" t="n">
        <v>-5.99</v>
      </c>
    </row>
    <row r="27" customFormat="false" ht="15" hidden="false" customHeight="false" outlineLevel="0" collapsed="false">
      <c r="A27" s="4" t="s">
        <v>456</v>
      </c>
      <c r="B27" s="24" t="n">
        <v>1728</v>
      </c>
      <c r="C27" s="24" t="n">
        <v>1557</v>
      </c>
      <c r="D27" s="24" t="n">
        <v>1158</v>
      </c>
      <c r="E27" s="24" t="n">
        <v>916</v>
      </c>
      <c r="F27" s="24" t="n">
        <v>1207</v>
      </c>
      <c r="G27" s="24" t="n">
        <v>1115</v>
      </c>
      <c r="H27" s="24" t="n">
        <v>1062</v>
      </c>
      <c r="I27" s="24" t="n">
        <v>521</v>
      </c>
      <c r="J27" s="24" t="n">
        <v>1032</v>
      </c>
      <c r="K27" s="24" t="n">
        <v>698</v>
      </c>
      <c r="L27" s="24" t="n">
        <v>796</v>
      </c>
    </row>
    <row r="28" customFormat="false" ht="15" hidden="false" customHeight="false" outlineLevel="0" collapsed="false">
      <c r="A28" s="4" t="s">
        <v>457</v>
      </c>
      <c r="B28" s="24" t="n">
        <v>983</v>
      </c>
      <c r="C28" s="24" t="n">
        <v>996</v>
      </c>
      <c r="D28" s="24" t="n">
        <v>881</v>
      </c>
      <c r="E28" s="24" t="n">
        <v>811</v>
      </c>
      <c r="F28" s="24" t="n">
        <v>770</v>
      </c>
      <c r="G28" s="24" t="n">
        <v>647</v>
      </c>
      <c r="H28" s="24" t="n">
        <v>981</v>
      </c>
      <c r="I28" s="24" t="n">
        <v>1061</v>
      </c>
      <c r="J28" s="24" t="n">
        <v>1050</v>
      </c>
      <c r="K28" s="24" t="n">
        <v>1188</v>
      </c>
      <c r="L28" s="24" t="n">
        <v>826</v>
      </c>
    </row>
    <row r="29" customFormat="false" ht="15" hidden="false" customHeight="false" outlineLevel="0" collapsed="false">
      <c r="A29" s="4" t="s">
        <v>458</v>
      </c>
      <c r="B29" s="24" t="n">
        <v>745</v>
      </c>
      <c r="C29" s="24" t="n">
        <v>561</v>
      </c>
      <c r="D29" s="24" t="n">
        <v>277</v>
      </c>
      <c r="E29" s="24" t="n">
        <v>105</v>
      </c>
      <c r="F29" s="24" t="n">
        <v>437</v>
      </c>
      <c r="G29" s="24" t="n">
        <v>468</v>
      </c>
      <c r="H29" s="24" t="n">
        <v>81</v>
      </c>
      <c r="I29" s="24" t="n">
        <v>-540</v>
      </c>
      <c r="J29" s="24" t="n">
        <v>-18</v>
      </c>
      <c r="K29" s="24" t="n">
        <v>-490</v>
      </c>
      <c r="L29" s="24" t="n">
        <v>-30</v>
      </c>
    </row>
    <row r="30" customFormat="false" ht="15" hidden="false" customHeight="false" outlineLevel="0" collapsed="false">
      <c r="A30" s="4" t="s">
        <v>459</v>
      </c>
      <c r="B30" s="24" t="n">
        <v>62</v>
      </c>
      <c r="C30" s="24" t="n">
        <v>35</v>
      </c>
      <c r="D30" s="24" t="n">
        <v>12</v>
      </c>
      <c r="E30" s="24" t="n">
        <v>2</v>
      </c>
      <c r="F30" s="24" t="n">
        <v>12</v>
      </c>
      <c r="G30" s="24" t="n">
        <v>0</v>
      </c>
      <c r="H30" s="24" t="n">
        <v>14</v>
      </c>
      <c r="I30" s="24" t="n">
        <v>52</v>
      </c>
      <c r="J30" s="24" t="n">
        <v>16</v>
      </c>
      <c r="K30" s="24" t="n">
        <v>115</v>
      </c>
      <c r="L30" s="24" t="n">
        <v>1802</v>
      </c>
    </row>
    <row r="31" customFormat="false" ht="15" hidden="false" customHeight="false" outlineLevel="0" collapsed="false">
      <c r="A31" s="4" t="s">
        <v>460</v>
      </c>
      <c r="B31" s="24" t="n">
        <v>0</v>
      </c>
      <c r="C31" s="24" t="n">
        <v>0</v>
      </c>
      <c r="D31" s="24" t="n">
        <v>0</v>
      </c>
      <c r="E31" s="24" t="n">
        <v>0</v>
      </c>
      <c r="F31" s="24" t="n">
        <v>0</v>
      </c>
      <c r="G31" s="24" t="n">
        <v>0</v>
      </c>
      <c r="H31" s="24" t="n">
        <v>1856</v>
      </c>
      <c r="I31" s="24" t="n">
        <v>0</v>
      </c>
      <c r="J31" s="24" t="n">
        <v>0</v>
      </c>
      <c r="K31" s="24" t="n">
        <v>0</v>
      </c>
      <c r="L31" s="24" t="n">
        <v>0</v>
      </c>
    </row>
    <row r="32" customFormat="false" ht="15" hidden="false" customHeight="false" outlineLevel="0" collapsed="false">
      <c r="A32" s="4" t="s">
        <v>461</v>
      </c>
      <c r="B32" s="24" t="n">
        <v>180</v>
      </c>
      <c r="C32" s="24" t="n">
        <v>500</v>
      </c>
      <c r="D32" s="24" t="n">
        <v>400</v>
      </c>
      <c r="E32" s="24" t="n">
        <v>220</v>
      </c>
      <c r="F32" s="24" t="n">
        <v>0</v>
      </c>
      <c r="G32" s="24" t="n">
        <v>0</v>
      </c>
      <c r="H32" s="24" t="n">
        <v>0</v>
      </c>
      <c r="I32" s="24" t="n">
        <v>0</v>
      </c>
      <c r="J32" s="24" t="n">
        <v>0</v>
      </c>
      <c r="K32" s="24" t="n">
        <v>0</v>
      </c>
      <c r="L32" s="24" t="n">
        <v>0</v>
      </c>
    </row>
    <row r="33" customFormat="false" ht="15" hidden="false" customHeight="false" outlineLevel="0" collapsed="false">
      <c r="A33" s="4" t="s">
        <v>462</v>
      </c>
      <c r="B33" s="24" t="n">
        <v>68</v>
      </c>
      <c r="C33" s="24" t="n">
        <v>82</v>
      </c>
      <c r="D33" s="24" t="n">
        <v>110</v>
      </c>
      <c r="E33" s="24" t="n">
        <v>138</v>
      </c>
      <c r="F33" s="24" t="n">
        <v>148</v>
      </c>
      <c r="G33" s="24" t="n">
        <v>37</v>
      </c>
      <c r="H33" s="24" t="n">
        <v>0</v>
      </c>
      <c r="I33" s="24" t="n">
        <v>0</v>
      </c>
      <c r="J33" s="24" t="n">
        <v>0</v>
      </c>
      <c r="K33" s="24" t="n">
        <v>0</v>
      </c>
      <c r="L33" s="24" t="n">
        <v>0</v>
      </c>
    </row>
    <row r="34" customFormat="false" ht="15" hidden="false" customHeight="false" outlineLevel="0" collapsed="false">
      <c r="A34" s="4" t="s">
        <v>463</v>
      </c>
      <c r="B34" s="24" t="n">
        <v>1728</v>
      </c>
      <c r="C34" s="24" t="n">
        <v>1807</v>
      </c>
      <c r="D34" s="24" t="n">
        <v>2005</v>
      </c>
      <c r="E34" s="24" t="n">
        <v>1966</v>
      </c>
      <c r="F34" s="24" t="n">
        <v>1884</v>
      </c>
      <c r="G34" s="24" t="n">
        <v>899</v>
      </c>
      <c r="H34" s="24" t="n">
        <v>1833</v>
      </c>
      <c r="I34" s="24" t="n">
        <v>2378</v>
      </c>
      <c r="J34" s="24" t="n">
        <v>2103</v>
      </c>
      <c r="K34" s="24" t="n">
        <v>1944</v>
      </c>
      <c r="L34" s="24" t="n">
        <v>2034</v>
      </c>
    </row>
    <row r="35" customFormat="false" ht="15" hidden="false" customHeight="false" outlineLevel="0" collapsed="false">
      <c r="A35" s="4" t="s">
        <v>464</v>
      </c>
      <c r="B35" s="24" t="n">
        <v>9198</v>
      </c>
      <c r="C35" s="24" t="n">
        <v>9518</v>
      </c>
      <c r="D35" s="24" t="n">
        <v>10190</v>
      </c>
      <c r="E35" s="24" t="n">
        <v>9930</v>
      </c>
      <c r="F35" s="24" t="n">
        <v>9794</v>
      </c>
      <c r="G35" s="24" t="n">
        <v>8515</v>
      </c>
      <c r="H35" s="24" t="n">
        <v>12221</v>
      </c>
      <c r="I35" s="24" t="n">
        <v>12690</v>
      </c>
      <c r="J35" s="24" t="n">
        <v>12345</v>
      </c>
      <c r="K35" s="24" t="n">
        <v>11587</v>
      </c>
      <c r="L35" s="24" t="n">
        <v>10582</v>
      </c>
    </row>
    <row r="36" customFormat="false" ht="15" hidden="false" customHeight="false" outlineLevel="0" collapsed="false">
      <c r="A36" s="4" t="s">
        <v>465</v>
      </c>
      <c r="B36" s="16" t="n">
        <v>0.219612959338987</v>
      </c>
      <c r="C36" s="16" t="n">
        <v>0.213293438768968</v>
      </c>
      <c r="D36" s="16" t="n">
        <v>0.157905419119139</v>
      </c>
      <c r="E36" s="16" t="n">
        <v>0.126640159045726</v>
      </c>
      <c r="F36" s="16" t="n">
        <v>0.0958223484080308</v>
      </c>
      <c r="G36" s="16" t="n">
        <v>-0.00152930252881097</v>
      </c>
      <c r="H36" s="16" t="n">
        <v>0.124228395061728</v>
      </c>
      <c r="I36" s="16" t="n">
        <v>0.10244470314319</v>
      </c>
      <c r="J36" s="16" t="n">
        <v>0.0753345316556821</v>
      </c>
      <c r="K36" s="16" t="n">
        <v>0.10880829015544</v>
      </c>
      <c r="L36" s="16" t="n">
        <v>0.0953583833280707</v>
      </c>
    </row>
    <row r="37" customFormat="false" ht="15" hidden="false" customHeight="false" outlineLevel="0" collapsed="false">
      <c r="A37" s="4" t="s">
        <v>466</v>
      </c>
      <c r="B37" s="16" t="n">
        <v>0.135600130463144</v>
      </c>
      <c r="C37" s="16" t="n">
        <v>0.13448386407352</v>
      </c>
      <c r="D37" s="16" t="n">
        <v>0.0990207022528922</v>
      </c>
      <c r="E37" s="16" t="n">
        <v>0.0790258449304175</v>
      </c>
      <c r="F37" s="16" t="n">
        <v>0.0520938957615088</v>
      </c>
      <c r="G37" s="16" t="n">
        <v>-0.0207275110601344</v>
      </c>
      <c r="H37" s="16" t="n">
        <v>0.0678530092592593</v>
      </c>
      <c r="I37" s="16" t="n">
        <v>0.058167074786239</v>
      </c>
      <c r="J37" s="16" t="n">
        <v>0.0370281605751947</v>
      </c>
      <c r="K37" s="16" t="n">
        <v>0.064181848570951</v>
      </c>
      <c r="L37" s="16" t="n">
        <v>0.050002255401687</v>
      </c>
    </row>
    <row r="38" customFormat="false" ht="15" hidden="false" customHeight="false" outlineLevel="0" collapsed="false">
      <c r="A38" s="4" t="s">
        <v>467</v>
      </c>
      <c r="B38" s="24" t="n">
        <v>5708</v>
      </c>
      <c r="C38" s="24" t="n">
        <v>5479</v>
      </c>
      <c r="D38" s="24" t="n">
        <v>5729</v>
      </c>
      <c r="E38" s="24" t="n">
        <v>5763</v>
      </c>
      <c r="F38" s="24" t="n">
        <v>5663</v>
      </c>
      <c r="G38" s="24" t="n">
        <v>5990</v>
      </c>
      <c r="H38" s="24" t="n">
        <v>7397</v>
      </c>
      <c r="I38" s="24" t="n">
        <v>7890</v>
      </c>
      <c r="J38" s="24" t="n">
        <v>7624</v>
      </c>
      <c r="K38" s="24" t="n">
        <v>7782</v>
      </c>
      <c r="L38" s="24" t="n">
        <v>6198</v>
      </c>
    </row>
    <row r="39" customFormat="false" ht="15" hidden="false" customHeight="false" outlineLevel="0" collapsed="false">
      <c r="A39" s="4" t="s">
        <v>468</v>
      </c>
      <c r="B39" s="24" t="n">
        <v>1476</v>
      </c>
      <c r="C39" s="24" t="n">
        <v>1132</v>
      </c>
      <c r="D39" s="24" t="n">
        <v>1043</v>
      </c>
      <c r="E39" s="24" t="n">
        <v>801</v>
      </c>
      <c r="F39" s="24" t="n">
        <v>908</v>
      </c>
      <c r="G39" s="24" t="n">
        <v>1539</v>
      </c>
      <c r="H39" s="24" t="n">
        <v>1088</v>
      </c>
      <c r="I39" s="24" t="n">
        <v>1227</v>
      </c>
      <c r="J39" s="24" t="n">
        <v>902</v>
      </c>
      <c r="K39" s="24" t="n">
        <v>810</v>
      </c>
      <c r="L39" s="24" t="n">
        <v>801</v>
      </c>
    </row>
    <row r="40" customFormat="false" ht="15" hidden="false" customHeight="false" outlineLevel="0" collapsed="false">
      <c r="A40" s="4" t="s">
        <v>469</v>
      </c>
      <c r="B40" s="24" t="n">
        <v>4232</v>
      </c>
      <c r="C40" s="24" t="n">
        <v>4347</v>
      </c>
      <c r="D40" s="24" t="n">
        <v>4686</v>
      </c>
      <c r="E40" s="24" t="n">
        <v>4962</v>
      </c>
      <c r="F40" s="24" t="n">
        <v>4755</v>
      </c>
      <c r="G40" s="24" t="n">
        <v>4451</v>
      </c>
      <c r="H40" s="24" t="n">
        <v>6309</v>
      </c>
      <c r="I40" s="24" t="n">
        <v>6663</v>
      </c>
      <c r="J40" s="24" t="n">
        <v>6722</v>
      </c>
      <c r="K40" s="24" t="n">
        <v>6972</v>
      </c>
      <c r="L40" s="24" t="n">
        <v>5397</v>
      </c>
    </row>
    <row r="41" customFormat="false" ht="15" hidden="false" customHeight="false" outlineLevel="0" collapsed="false">
      <c r="A41" s="4" t="s">
        <v>470</v>
      </c>
      <c r="B41" s="24" t="n">
        <v>3920</v>
      </c>
      <c r="C41" s="24" t="n">
        <v>4507</v>
      </c>
      <c r="D41" s="24" t="n">
        <v>4603</v>
      </c>
      <c r="E41" s="24" t="n">
        <v>4864</v>
      </c>
      <c r="F41" s="24" t="n">
        <v>4351</v>
      </c>
      <c r="G41" s="24" t="n">
        <v>3078</v>
      </c>
      <c r="H41" s="24" t="n">
        <v>4999</v>
      </c>
      <c r="I41" s="24" t="n">
        <v>5300</v>
      </c>
      <c r="J41" s="24" t="n">
        <v>4668</v>
      </c>
      <c r="K41" s="24" t="n">
        <v>4681</v>
      </c>
      <c r="L41" s="24" t="n">
        <v>3233</v>
      </c>
    </row>
    <row r="42" customFormat="false" ht="15" hidden="false" customHeight="false" outlineLevel="0" collapsed="false">
      <c r="A42" s="4" t="s">
        <v>471</v>
      </c>
      <c r="B42" s="42" t="n">
        <v>267</v>
      </c>
      <c r="C42" s="42" t="n">
        <v>252</v>
      </c>
      <c r="D42" s="42" t="n">
        <v>240</v>
      </c>
      <c r="E42" s="42" t="n">
        <v>232</v>
      </c>
      <c r="F42" s="42" t="n">
        <v>233</v>
      </c>
      <c r="G42" s="42" t="n">
        <v>233</v>
      </c>
      <c r="H42" s="42" t="n">
        <v>282</v>
      </c>
      <c r="I42" s="42" t="n">
        <v>283</v>
      </c>
      <c r="J42" s="42" t="n">
        <v>284</v>
      </c>
      <c r="K42" s="42" t="n">
        <v>285</v>
      </c>
      <c r="L42" s="42" t="n">
        <v>286</v>
      </c>
    </row>
    <row r="43" customFormat="false" ht="15" hidden="false" customHeight="false" outlineLevel="0" collapsed="false">
      <c r="A43" s="4" t="s">
        <v>472</v>
      </c>
      <c r="B43" s="14" t="n">
        <v>32.67</v>
      </c>
      <c r="C43" s="14" t="n">
        <v>30.87</v>
      </c>
      <c r="D43" s="14" t="n">
        <v>32.31</v>
      </c>
      <c r="E43" s="14" t="n">
        <v>20.41</v>
      </c>
      <c r="F43" s="14" t="n">
        <v>15.56</v>
      </c>
      <c r="G43" s="14" t="n">
        <v>10.91</v>
      </c>
      <c r="H43" s="14" t="n">
        <v>21.32</v>
      </c>
      <c r="I43" s="14" t="n">
        <v>10.15</v>
      </c>
      <c r="J43" s="14" t="n">
        <v>14.32</v>
      </c>
      <c r="K43" s="14" t="n">
        <v>9</v>
      </c>
      <c r="L43" s="14" t="n">
        <v>8.76</v>
      </c>
    </row>
    <row r="44" customFormat="false" ht="15" hidden="false" customHeight="false" outlineLevel="0" collapsed="false">
      <c r="A44" s="4" t="s">
        <v>473</v>
      </c>
      <c r="B44" s="24" t="n">
        <v>8722.89</v>
      </c>
      <c r="C44" s="24" t="n">
        <v>7779.24</v>
      </c>
      <c r="D44" s="24" t="n">
        <v>7754.4</v>
      </c>
      <c r="E44" s="24" t="n">
        <v>4735.12</v>
      </c>
      <c r="F44" s="24" t="n">
        <v>3625.48</v>
      </c>
      <c r="G44" s="24" t="n">
        <v>2542.03</v>
      </c>
      <c r="H44" s="24" t="n">
        <v>6012.24</v>
      </c>
      <c r="I44" s="24" t="n">
        <v>2872.45</v>
      </c>
      <c r="J44" s="24" t="n">
        <v>4066.88</v>
      </c>
      <c r="K44" s="24" t="n">
        <v>2565</v>
      </c>
      <c r="L44" s="24" t="n">
        <v>2505.36</v>
      </c>
    </row>
    <row r="45" customFormat="false" ht="15" hidden="false" customHeight="false" outlineLevel="0" collapsed="false">
      <c r="A45" s="4" t="s">
        <v>474</v>
      </c>
      <c r="B45" s="24" t="n">
        <v>13176.89</v>
      </c>
      <c r="C45" s="24" t="n">
        <v>12344.24</v>
      </c>
      <c r="D45" s="24" t="n">
        <v>12687.4</v>
      </c>
      <c r="E45" s="24" t="n">
        <v>9903.12</v>
      </c>
      <c r="F45" s="24" t="n">
        <v>8574.48</v>
      </c>
      <c r="G45" s="24" t="n">
        <v>7174.03</v>
      </c>
      <c r="H45" s="24" t="n">
        <v>12506.24</v>
      </c>
      <c r="I45" s="24" t="n">
        <v>9701.45</v>
      </c>
      <c r="J45" s="24" t="n">
        <v>10957.88</v>
      </c>
      <c r="K45" s="24" t="n">
        <v>9679</v>
      </c>
      <c r="L45" s="24" t="n">
        <v>8072.36</v>
      </c>
    </row>
    <row r="46" customFormat="false" ht="15" hidden="false" customHeight="false" outlineLevel="0" collapsed="false">
      <c r="A46" s="4" t="s">
        <v>475</v>
      </c>
      <c r="B46" s="38" t="n">
        <v>5.24766626841896</v>
      </c>
      <c r="C46" s="38" t="n">
        <v>4.83140508806262</v>
      </c>
      <c r="D46" s="38" t="n">
        <v>5.68431899641577</v>
      </c>
      <c r="E46" s="38" t="n">
        <v>4.98144869215292</v>
      </c>
      <c r="F46" s="38" t="n">
        <v>5.26041717791411</v>
      </c>
      <c r="G46" s="38" t="n">
        <v>9.48945767195767</v>
      </c>
      <c r="H46" s="38" t="n">
        <v>6.34512430238458</v>
      </c>
      <c r="I46" s="38" t="n">
        <v>4.66415865384616</v>
      </c>
      <c r="J46" s="38" t="n">
        <v>6.1943923120407</v>
      </c>
      <c r="K46" s="38" t="n">
        <v>4.3540260908682</v>
      </c>
      <c r="L46" s="38" t="n">
        <v>4.17391933815926</v>
      </c>
    </row>
    <row r="47" customFormat="false" ht="15" hidden="false" customHeight="false" outlineLevel="0" collapsed="false">
      <c r="A47" s="4" t="s">
        <v>476</v>
      </c>
      <c r="B47" s="37" t="n">
        <v>2.22522704081633</v>
      </c>
      <c r="C47" s="37" t="n">
        <v>1.72603505657866</v>
      </c>
      <c r="D47" s="37" t="n">
        <v>1.68464045187921</v>
      </c>
      <c r="E47" s="37" t="n">
        <v>0.973503289473684</v>
      </c>
      <c r="F47" s="37" t="n">
        <v>0.833252125948058</v>
      </c>
      <c r="G47" s="37" t="n">
        <v>0.82587069525666</v>
      </c>
      <c r="H47" s="37" t="n">
        <v>1.20268853770754</v>
      </c>
      <c r="I47" s="37" t="n">
        <v>0.541971698113208</v>
      </c>
      <c r="J47" s="37" t="n">
        <v>0.871225364181662</v>
      </c>
      <c r="K47" s="37" t="n">
        <v>0.54795983764153</v>
      </c>
      <c r="L47" s="37" t="n">
        <v>0.774933498298794</v>
      </c>
    </row>
    <row r="48" customFormat="false" ht="15" hidden="false" customHeight="false" outlineLevel="0" collapsed="false">
      <c r="A48" s="4" t="s">
        <v>477</v>
      </c>
      <c r="B48" s="38" t="n">
        <v>1.68538430904022</v>
      </c>
      <c r="C48" s="38" t="n">
        <v>1.7013698630137</v>
      </c>
      <c r="D48" s="38" t="n">
        <v>2.0994623655914</v>
      </c>
      <c r="E48" s="38" t="n">
        <v>2.49597585513079</v>
      </c>
      <c r="F48" s="38" t="n">
        <v>2.91717791411043</v>
      </c>
      <c r="G48" s="38" t="n">
        <v>5.88756613756614</v>
      </c>
      <c r="H48" s="38" t="n">
        <v>3.20091324200913</v>
      </c>
      <c r="I48" s="38" t="n">
        <v>3.20336538461539</v>
      </c>
      <c r="J48" s="38" t="n">
        <v>3.79988694177501</v>
      </c>
      <c r="K48" s="38" t="n">
        <v>3.13630229419703</v>
      </c>
      <c r="L48" s="38" t="n">
        <v>2.79058945191313</v>
      </c>
    </row>
    <row r="51" customFormat="false" ht="15" hidden="false" customHeight="false" outlineLevel="0" collapsed="false">
      <c r="A51" s="4" t="s">
        <v>478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3"/>
    <col collapsed="false" customWidth="true" hidden="false" outlineLevel="0" max="3" min="3" style="0" width="70"/>
    <col collapsed="false" customWidth="true" hidden="false" outlineLevel="0" max="15" min="4" style="0" width="13"/>
  </cols>
  <sheetData>
    <row r="1" customFormat="false" ht="16.15" hidden="false" customHeight="false" outlineLevel="0" collapsed="false">
      <c r="A1" s="1" t="s">
        <v>479</v>
      </c>
    </row>
    <row r="3" customFormat="false" ht="23.85" hidden="false" customHeight="false" outlineLevel="0" collapsed="false">
      <c r="A3" s="3" t="s">
        <v>480</v>
      </c>
      <c r="B3" s="3" t="s">
        <v>481</v>
      </c>
      <c r="C3" s="3" t="s">
        <v>421</v>
      </c>
      <c r="D3" s="3" t="s">
        <v>482</v>
      </c>
      <c r="E3" s="3" t="s">
        <v>483</v>
      </c>
      <c r="F3" s="3" t="s">
        <v>484</v>
      </c>
      <c r="G3" s="3" t="s">
        <v>485</v>
      </c>
      <c r="H3" s="3" t="s">
        <v>486</v>
      </c>
      <c r="I3" s="3" t="s">
        <v>487</v>
      </c>
      <c r="J3" s="3" t="s">
        <v>488</v>
      </c>
      <c r="K3" s="3" t="s">
        <v>489</v>
      </c>
    </row>
    <row r="4" customFormat="false" ht="15" hidden="false" customHeight="false" outlineLevel="0" collapsed="false">
      <c r="A4" s="4" t="s">
        <v>490</v>
      </c>
      <c r="B4" s="4" t="s">
        <v>491</v>
      </c>
      <c r="C4" s="4" t="s">
        <v>492</v>
      </c>
      <c r="D4" s="4" t="s">
        <v>493</v>
      </c>
      <c r="E4" s="43" t="n">
        <v>1738</v>
      </c>
      <c r="F4" s="43" t="n">
        <v>1817</v>
      </c>
      <c r="G4" s="43" t="n">
        <v>1580</v>
      </c>
      <c r="H4" s="43" t="n">
        <v>1712</v>
      </c>
      <c r="I4" s="4" t="s">
        <v>494</v>
      </c>
      <c r="J4" s="21" t="n">
        <f aca="false">IFERROR((H4-G4)/((E4+F4)/2-G4),"")</f>
        <v>0.668354430379747</v>
      </c>
      <c r="K4" s="21" t="n">
        <f aca="false">IFERROR(H4/((E4+F4)/2),"")</f>
        <v>0.963150492264416</v>
      </c>
    </row>
    <row r="5" customFormat="false" ht="15" hidden="false" customHeight="false" outlineLevel="0" collapsed="false">
      <c r="A5" s="4" t="s">
        <v>495</v>
      </c>
      <c r="B5" s="4" t="s">
        <v>491</v>
      </c>
      <c r="C5" s="4" t="s">
        <v>496</v>
      </c>
      <c r="D5" s="4" t="s">
        <v>493</v>
      </c>
      <c r="E5" s="43" t="n">
        <v>1883</v>
      </c>
      <c r="F5" s="43" t="n">
        <v>1969</v>
      </c>
      <c r="G5" s="43" t="n">
        <v>1712</v>
      </c>
      <c r="H5" s="43" t="n">
        <v>2022</v>
      </c>
      <c r="I5" s="4" t="s">
        <v>497</v>
      </c>
      <c r="J5" s="21" t="n">
        <f aca="false">IFERROR((H5-G5)/((E5+F5)/2-G5),"")</f>
        <v>1.44859813084112</v>
      </c>
      <c r="K5" s="21" t="n">
        <f aca="false">IFERROR(H5/((E5+F5)/2),"")</f>
        <v>1.04984423676012</v>
      </c>
    </row>
    <row r="6" customFormat="false" ht="15" hidden="false" customHeight="false" outlineLevel="0" collapsed="false">
      <c r="A6" s="4" t="s">
        <v>498</v>
      </c>
      <c r="B6" s="4" t="s">
        <v>491</v>
      </c>
      <c r="C6" s="4" t="s">
        <v>499</v>
      </c>
      <c r="D6" s="4" t="s">
        <v>500</v>
      </c>
      <c r="E6" s="43" t="n">
        <v>2100</v>
      </c>
      <c r="F6" s="43" t="n">
        <v>2200</v>
      </c>
      <c r="G6" s="43" t="n">
        <v>1903</v>
      </c>
      <c r="H6" s="43" t="n">
        <v>1985</v>
      </c>
      <c r="I6" s="4" t="s">
        <v>494</v>
      </c>
      <c r="J6" s="21" t="n">
        <f aca="false">IFERROR((H6-G6)/((E6+F6)/2-G6),"")</f>
        <v>0.331983805668016</v>
      </c>
      <c r="K6" s="21" t="n">
        <f aca="false">IFERROR(H6/((E6+F6)/2),"")</f>
        <v>0.923255813953488</v>
      </c>
    </row>
    <row r="7" customFormat="false" ht="15" hidden="false" customHeight="false" outlineLevel="0" collapsed="false">
      <c r="A7" s="4" t="s">
        <v>501</v>
      </c>
      <c r="B7" s="4" t="s">
        <v>491</v>
      </c>
      <c r="C7" s="4" t="s">
        <v>502</v>
      </c>
      <c r="D7" s="4" t="s">
        <v>503</v>
      </c>
      <c r="E7" s="43" t="n">
        <v>1985</v>
      </c>
      <c r="F7" s="43" t="n">
        <v>2025</v>
      </c>
      <c r="G7" s="43" t="n">
        <v>1985</v>
      </c>
      <c r="H7" s="43" t="n">
        <v>1522</v>
      </c>
      <c r="I7" s="4" t="s">
        <v>494</v>
      </c>
      <c r="J7" s="21" t="n">
        <f aca="false">IFERROR((H7-G7)/((E7+F7)/2-G7),"")</f>
        <v>-23.15</v>
      </c>
      <c r="K7" s="21" t="n">
        <f aca="false">IFERROR(H7/((E7+F7)/2),"")</f>
        <v>0.759102244389027</v>
      </c>
    </row>
    <row r="8" customFormat="false" ht="15" hidden="false" customHeight="false" outlineLevel="0" collapsed="false">
      <c r="A8" s="4" t="s">
        <v>504</v>
      </c>
      <c r="B8" s="4" t="s">
        <v>491</v>
      </c>
      <c r="C8" s="4" t="s">
        <v>505</v>
      </c>
      <c r="D8" s="4" t="s">
        <v>506</v>
      </c>
      <c r="E8" s="43" t="n">
        <v>1800</v>
      </c>
      <c r="F8" s="43" t="n">
        <v>1900</v>
      </c>
      <c r="G8" s="43" t="n">
        <v>1522</v>
      </c>
      <c r="H8" s="43" t="n">
        <v>1274</v>
      </c>
      <c r="I8" s="4" t="s">
        <v>494</v>
      </c>
      <c r="J8" s="21" t="n">
        <f aca="false">IFERROR((H8-G8)/((E8+F8)/2-G8),"")</f>
        <v>-0.75609756097561</v>
      </c>
      <c r="K8" s="21" t="n">
        <f aca="false">IFERROR(H8/((E8+F8)/2),"")</f>
        <v>0.688648648648649</v>
      </c>
    </row>
    <row r="9" customFormat="false" ht="15" hidden="false" customHeight="false" outlineLevel="0" collapsed="false">
      <c r="A9" s="4" t="s">
        <v>507</v>
      </c>
      <c r="B9" s="4" t="s">
        <v>491</v>
      </c>
      <c r="C9" s="4" t="s">
        <v>508</v>
      </c>
      <c r="D9" s="4" t="s">
        <v>509</v>
      </c>
      <c r="E9" s="43" t="n">
        <v>7.5</v>
      </c>
      <c r="F9" s="43" t="n">
        <v>8</v>
      </c>
      <c r="G9" s="43" t="n">
        <v>2.5</v>
      </c>
      <c r="H9" s="43" t="n">
        <v>7</v>
      </c>
      <c r="I9" s="4" t="s">
        <v>510</v>
      </c>
      <c r="J9" s="21" t="n">
        <f aca="false">IFERROR((H9-G9)/((E9+F9)/2-G9),"")</f>
        <v>0.857142857142857</v>
      </c>
      <c r="K9" s="21" t="n">
        <f aca="false">IFERROR(H9/((E9+F9)/2),"")</f>
        <v>0.903225806451613</v>
      </c>
    </row>
    <row r="10" customFormat="false" ht="15" hidden="false" customHeight="false" outlineLevel="0" collapsed="false">
      <c r="A10" s="4" t="s">
        <v>511</v>
      </c>
      <c r="B10" s="4" t="s">
        <v>491</v>
      </c>
      <c r="C10" s="4" t="s">
        <v>512</v>
      </c>
      <c r="D10" s="4" t="s">
        <v>513</v>
      </c>
      <c r="E10" s="43" t="n">
        <v>850</v>
      </c>
      <c r="F10" s="43" t="n">
        <v>950</v>
      </c>
      <c r="G10" s="43" t="n">
        <v>800</v>
      </c>
      <c r="H10" s="43" t="n">
        <v>600</v>
      </c>
      <c r="I10" s="4" t="s">
        <v>514</v>
      </c>
      <c r="J10" s="21" t="n">
        <f aca="false">IFERROR((H10-G10)/((E10+F10)/2-G10),"")</f>
        <v>-2</v>
      </c>
      <c r="K10" s="21" t="n">
        <f aca="false">IFERROR(H10/((E10+F10)/2),"")</f>
        <v>0.666666666666667</v>
      </c>
    </row>
    <row r="11" customFormat="false" ht="15" hidden="false" customHeight="false" outlineLevel="0" collapsed="false">
      <c r="A11" s="4" t="s">
        <v>515</v>
      </c>
      <c r="B11" s="4" t="s">
        <v>516</v>
      </c>
      <c r="C11" s="4" t="s">
        <v>517</v>
      </c>
      <c r="D11" s="4" t="s">
        <v>518</v>
      </c>
      <c r="E11" s="43" t="n">
        <v>3000</v>
      </c>
      <c r="F11" s="43" t="n">
        <v>3000</v>
      </c>
      <c r="G11" s="43" t="n">
        <v>1985</v>
      </c>
      <c r="H11" s="43" t="n">
        <v>945</v>
      </c>
      <c r="I11" s="4" t="s">
        <v>519</v>
      </c>
      <c r="J11" s="21" t="n">
        <f aca="false">IFERROR((H11-G11)/((E11+F11)/2-G11),"")</f>
        <v>-1.02463054187192</v>
      </c>
      <c r="K11" s="21" t="n">
        <f aca="false">IFERROR(H11/((E11+F11)/2),"")</f>
        <v>0.315</v>
      </c>
    </row>
    <row r="12" customFormat="false" ht="15" hidden="false" customHeight="false" outlineLevel="0" collapsed="false">
      <c r="A12" s="4" t="s">
        <v>520</v>
      </c>
      <c r="B12" s="4" t="s">
        <v>516</v>
      </c>
      <c r="C12" s="4" t="s">
        <v>521</v>
      </c>
      <c r="D12" s="4" t="s">
        <v>506</v>
      </c>
      <c r="E12" s="43" t="n">
        <v>2000</v>
      </c>
      <c r="F12" s="43" t="n">
        <v>2400</v>
      </c>
      <c r="G12" s="43" t="n">
        <v>1522</v>
      </c>
      <c r="H12" s="43" t="n">
        <v>945</v>
      </c>
      <c r="I12" s="4" t="s">
        <v>519</v>
      </c>
      <c r="J12" s="21" t="n">
        <f aca="false">IFERROR((H12-G12)/((E12+F12)/2-G12),"")</f>
        <v>-0.851032448377581</v>
      </c>
      <c r="K12" s="21" t="n">
        <f aca="false">IFERROR(H12/((E12+F12)/2),"")</f>
        <v>0.429545454545455</v>
      </c>
    </row>
    <row r="13" customFormat="false" ht="15" hidden="false" customHeight="false" outlineLevel="0" collapsed="false">
      <c r="A13" s="4" t="s">
        <v>522</v>
      </c>
      <c r="B13" s="4" t="s">
        <v>516</v>
      </c>
      <c r="C13" s="4" t="s">
        <v>523</v>
      </c>
      <c r="D13" s="4" t="s">
        <v>524</v>
      </c>
      <c r="E13" s="43" t="n">
        <v>10</v>
      </c>
      <c r="F13" s="43" t="n">
        <v>10</v>
      </c>
      <c r="G13" s="43" t="n">
        <v>7.5</v>
      </c>
      <c r="H13" s="43" t="n">
        <v>7.3</v>
      </c>
      <c r="I13" s="4" t="s">
        <v>519</v>
      </c>
      <c r="J13" s="21" t="n">
        <f aca="false">IFERROR((H13-G13)/((E13+F13)/2-G13),"")</f>
        <v>-0.0800000000000001</v>
      </c>
      <c r="K13" s="21" t="n">
        <f aca="false">IFERROR(H13/((E13+F13)/2),"")</f>
        <v>0.73</v>
      </c>
    </row>
    <row r="14" customFormat="false" ht="15" hidden="false" customHeight="false" outlineLevel="0" collapsed="false">
      <c r="A14" s="4" t="s">
        <v>525</v>
      </c>
      <c r="B14" s="4" t="s">
        <v>526</v>
      </c>
      <c r="C14" s="4" t="s">
        <v>527</v>
      </c>
      <c r="D14" s="4" t="s">
        <v>524</v>
      </c>
      <c r="E14" s="43" t="n">
        <v>2</v>
      </c>
      <c r="F14" s="43" t="n">
        <v>2.5</v>
      </c>
      <c r="G14" s="43" t="n">
        <v>3.8</v>
      </c>
      <c r="H14" s="43" t="n">
        <v>2.8</v>
      </c>
      <c r="I14" s="4" t="s">
        <v>519</v>
      </c>
      <c r="J14" s="21" t="n">
        <f aca="false">IFERROR((H14-G14)/((E14+F14)/2-G14),"")</f>
        <v>0.645161290322581</v>
      </c>
      <c r="K14" s="21" t="n">
        <f aca="false">IFERROR(H14/((E14+F14)/2),"")</f>
        <v>1.24444444444444</v>
      </c>
    </row>
    <row r="15" customFormat="false" ht="15" hidden="false" customHeight="false" outlineLevel="0" collapsed="false">
      <c r="A15" s="4" t="s">
        <v>528</v>
      </c>
      <c r="B15" s="4" t="s">
        <v>526</v>
      </c>
      <c r="C15" s="4" t="s">
        <v>529</v>
      </c>
      <c r="D15" s="4" t="s">
        <v>530</v>
      </c>
      <c r="E15" s="43" t="n">
        <v>2</v>
      </c>
      <c r="F15" s="43" t="n">
        <v>2.1</v>
      </c>
      <c r="G15" s="4"/>
      <c r="H15" s="4"/>
      <c r="I15" s="4" t="s">
        <v>519</v>
      </c>
      <c r="J15" s="21" t="n">
        <f aca="false">IFERROR((H15-G15)/((E15+F15)/2-G15),"")</f>
        <v>0</v>
      </c>
      <c r="K15" s="21" t="n">
        <f aca="false">IFERROR(H15/((E15+F15)/2),"")</f>
        <v>0</v>
      </c>
    </row>
    <row r="16" customFormat="false" ht="15" hidden="false" customHeight="false" outlineLevel="0" collapsed="false">
      <c r="A16" s="4" t="s">
        <v>531</v>
      </c>
      <c r="B16" s="4" t="s">
        <v>532</v>
      </c>
      <c r="C16" s="4" t="s">
        <v>533</v>
      </c>
      <c r="D16" s="4" t="s">
        <v>518</v>
      </c>
      <c r="E16" s="43" t="n">
        <v>4300</v>
      </c>
      <c r="F16" s="43" t="n">
        <v>4900</v>
      </c>
      <c r="G16" s="43" t="n">
        <v>0</v>
      </c>
      <c r="H16" s="43" t="n">
        <v>1287</v>
      </c>
      <c r="I16" s="4" t="s">
        <v>494</v>
      </c>
      <c r="J16" s="21" t="n">
        <f aca="false">IFERROR((H16-G16)/((E16+F16)/2-G16),"")</f>
        <v>0.279782608695652</v>
      </c>
      <c r="K16" s="21" t="n">
        <f aca="false">IFERROR(H16/((E16+F16)/2),"")</f>
        <v>0.279782608695652</v>
      </c>
    </row>
    <row r="17" customFormat="false" ht="15" hidden="false" customHeight="false" outlineLevel="0" collapsed="false">
      <c r="A17" s="4" t="s">
        <v>534</v>
      </c>
      <c r="B17" s="4" t="s">
        <v>532</v>
      </c>
      <c r="C17" s="4" t="s">
        <v>535</v>
      </c>
      <c r="D17" s="4" t="s">
        <v>518</v>
      </c>
      <c r="E17" s="43" t="n">
        <v>4000</v>
      </c>
      <c r="F17" s="43" t="n">
        <v>4000</v>
      </c>
      <c r="G17" s="43" t="n">
        <v>0</v>
      </c>
      <c r="H17" s="43" t="n">
        <v>1053</v>
      </c>
      <c r="I17" s="4" t="s">
        <v>494</v>
      </c>
      <c r="J17" s="21" t="n">
        <f aca="false">IFERROR((H17-G17)/((E17+F17)/2-G17),"")</f>
        <v>0.26325</v>
      </c>
      <c r="K17" s="21" t="n">
        <f aca="false">IFERROR(H17/((E17+F17)/2),"")</f>
        <v>0.26325</v>
      </c>
    </row>
    <row r="18" customFormat="false" ht="15" hidden="false" customHeight="false" outlineLevel="0" collapsed="false">
      <c r="A18" s="4" t="s">
        <v>536</v>
      </c>
      <c r="B18" s="4" t="s">
        <v>537</v>
      </c>
      <c r="C18" s="4" t="s">
        <v>538</v>
      </c>
      <c r="D18" s="4" t="s">
        <v>539</v>
      </c>
      <c r="E18" s="43" t="n">
        <v>60</v>
      </c>
      <c r="F18" s="43" t="n">
        <v>70</v>
      </c>
      <c r="G18" s="4"/>
      <c r="H18" s="4"/>
      <c r="I18" s="4" t="s">
        <v>519</v>
      </c>
      <c r="J18" s="21" t="n">
        <f aca="false">IFERROR((H18-G18)/((E18+F18)/2-G18),"")</f>
        <v>0</v>
      </c>
      <c r="K18" s="21" t="n">
        <f aca="false">IFERROR(H18/((E18+F18)/2),"")</f>
        <v>0</v>
      </c>
    </row>
    <row r="19" customFormat="false" ht="15" hidden="false" customHeight="false" outlineLevel="0" collapsed="false">
      <c r="A19" s="4" t="s">
        <v>540</v>
      </c>
      <c r="B19" s="4" t="s">
        <v>537</v>
      </c>
      <c r="C19" s="4" t="s">
        <v>541</v>
      </c>
      <c r="D19" s="4" t="s">
        <v>542</v>
      </c>
      <c r="E19" s="43" t="n">
        <v>165</v>
      </c>
      <c r="F19" s="43" t="n">
        <v>165</v>
      </c>
      <c r="G19" s="43" t="n">
        <v>0</v>
      </c>
      <c r="H19" s="43" t="n">
        <v>250</v>
      </c>
      <c r="I19" s="4" t="s">
        <v>497</v>
      </c>
      <c r="J19" s="21" t="n">
        <f aca="false">IFERROR((H19-G19)/((E19+F19)/2-G19),"")</f>
        <v>1.51515151515152</v>
      </c>
      <c r="K19" s="21" t="n">
        <f aca="false">IFERROR(H19/((E19+F19)/2),"")</f>
        <v>1.51515151515152</v>
      </c>
    </row>
    <row r="20" customFormat="false" ht="15" hidden="false" customHeight="false" outlineLevel="0" collapsed="false">
      <c r="A20" s="4" t="s">
        <v>543</v>
      </c>
      <c r="B20" s="4" t="s">
        <v>537</v>
      </c>
      <c r="C20" s="4" t="s">
        <v>544</v>
      </c>
      <c r="D20" s="4" t="s">
        <v>545</v>
      </c>
      <c r="E20" s="43" t="n">
        <v>350</v>
      </c>
      <c r="F20" s="43" t="n">
        <v>350</v>
      </c>
      <c r="G20" s="43" t="n">
        <v>0</v>
      </c>
      <c r="H20" s="43" t="n">
        <v>480</v>
      </c>
      <c r="I20" s="4" t="s">
        <v>497</v>
      </c>
      <c r="J20" s="21" t="n">
        <f aca="false">IFERROR((H20-G20)/((E20+F20)/2-G20),"")</f>
        <v>1.37142857142857</v>
      </c>
      <c r="K20" s="21" t="n">
        <f aca="false">IFERROR(H20/((E20+F20)/2),"")</f>
        <v>1.37142857142857</v>
      </c>
    </row>
    <row r="21" customFormat="false" ht="15" hidden="false" customHeight="false" outlineLevel="0" collapsed="false">
      <c r="A21" s="4" t="s">
        <v>546</v>
      </c>
      <c r="B21" s="4" t="s">
        <v>537</v>
      </c>
      <c r="C21" s="4" t="s">
        <v>547</v>
      </c>
      <c r="D21" s="4" t="s">
        <v>548</v>
      </c>
      <c r="E21" s="43" t="n">
        <v>750</v>
      </c>
      <c r="F21" s="43" t="n">
        <v>750</v>
      </c>
      <c r="G21" s="43" t="n">
        <v>0</v>
      </c>
      <c r="H21" s="43" t="n">
        <v>772</v>
      </c>
      <c r="I21" s="4" t="s">
        <v>497</v>
      </c>
      <c r="J21" s="21" t="n">
        <f aca="false">IFERROR((H21-G21)/((E21+F21)/2-G21),"")</f>
        <v>1.02933333333333</v>
      </c>
      <c r="K21" s="21" t="n">
        <f aca="false">IFERROR(H21/((E21+F21)/2),"")</f>
        <v>1.02933333333333</v>
      </c>
    </row>
    <row r="22" customFormat="false" ht="15" hidden="false" customHeight="false" outlineLevel="0" collapsed="false">
      <c r="A22" s="4" t="s">
        <v>549</v>
      </c>
      <c r="B22" s="4" t="s">
        <v>537</v>
      </c>
      <c r="C22" s="4" t="s">
        <v>550</v>
      </c>
      <c r="D22" s="4" t="s">
        <v>524</v>
      </c>
      <c r="E22" s="43" t="n">
        <v>1300</v>
      </c>
      <c r="F22" s="43" t="n">
        <v>1300</v>
      </c>
      <c r="G22" s="43" t="n">
        <v>0</v>
      </c>
      <c r="H22" s="43" t="n">
        <v>1500</v>
      </c>
      <c r="I22" s="4" t="s">
        <v>497</v>
      </c>
      <c r="J22" s="21" t="n">
        <f aca="false">IFERROR((H22-G22)/((E22+F22)/2-G22),"")</f>
        <v>1.15384615384615</v>
      </c>
      <c r="K22" s="21" t="n">
        <f aca="false">IFERROR(H22/((E22+F22)/2),"")</f>
        <v>1.15384615384615</v>
      </c>
    </row>
    <row r="23" customFormat="false" ht="15" hidden="false" customHeight="false" outlineLevel="0" collapsed="false">
      <c r="A23" s="4" t="s">
        <v>551</v>
      </c>
      <c r="B23" s="4" t="s">
        <v>552</v>
      </c>
      <c r="C23" s="4" t="s">
        <v>553</v>
      </c>
      <c r="D23" s="4" t="s">
        <v>524</v>
      </c>
      <c r="E23" s="43" t="n">
        <v>2000</v>
      </c>
      <c r="F23" s="43" t="n">
        <v>2000</v>
      </c>
      <c r="G23" s="43" t="n">
        <v>0</v>
      </c>
      <c r="H23" s="43" t="n">
        <v>2200</v>
      </c>
      <c r="I23" s="4" t="s">
        <v>497</v>
      </c>
      <c r="J23" s="21" t="n">
        <f aca="false">IFERROR((H23-G23)/((E23+F23)/2-G23),"")</f>
        <v>1.1</v>
      </c>
      <c r="K23" s="21" t="n">
        <f aca="false">IFERROR(H23/((E23+F23)/2),"")</f>
        <v>1.1</v>
      </c>
    </row>
    <row r="24" customFormat="false" ht="15" hidden="false" customHeight="false" outlineLevel="0" collapsed="false">
      <c r="A24" s="4" t="s">
        <v>554</v>
      </c>
      <c r="B24" s="4" t="s">
        <v>555</v>
      </c>
      <c r="C24" s="4" t="s">
        <v>556</v>
      </c>
      <c r="D24" s="4" t="s">
        <v>557</v>
      </c>
      <c r="E24" s="43" t="n">
        <v>950</v>
      </c>
      <c r="F24" s="43" t="n">
        <v>950</v>
      </c>
      <c r="G24" s="43" t="n">
        <v>1188</v>
      </c>
      <c r="H24" s="43" t="n">
        <v>826</v>
      </c>
      <c r="I24" s="4" t="s">
        <v>497</v>
      </c>
      <c r="J24" s="21" t="n">
        <f aca="false">IFERROR((H24-G24)/((E24+F24)/2-G24),"")</f>
        <v>1.52100840336134</v>
      </c>
      <c r="K24" s="21" t="n">
        <f aca="false">IFERROR(H24/((E24+F24)/2),"")</f>
        <v>0.869473684210526</v>
      </c>
    </row>
    <row r="25" customFormat="false" ht="15" hidden="false" customHeight="false" outlineLevel="0" collapsed="false">
      <c r="A25" s="4" t="s">
        <v>558</v>
      </c>
      <c r="B25" s="4" t="s">
        <v>555</v>
      </c>
      <c r="C25" s="4" t="s">
        <v>559</v>
      </c>
      <c r="D25" s="4" t="s">
        <v>557</v>
      </c>
      <c r="E25" s="43" t="n">
        <v>400</v>
      </c>
      <c r="F25" s="43" t="n">
        <v>400</v>
      </c>
      <c r="G25" s="43" t="n">
        <v>198</v>
      </c>
      <c r="H25" s="43" t="n">
        <v>431</v>
      </c>
      <c r="I25" s="4" t="s">
        <v>497</v>
      </c>
      <c r="J25" s="21" t="n">
        <f aca="false">IFERROR((H25-G25)/((E25+F25)/2-G25),"")</f>
        <v>1.15346534653465</v>
      </c>
      <c r="K25" s="21" t="n">
        <f aca="false">IFERROR(H25/((E25+F25)/2),"")</f>
        <v>1.0775</v>
      </c>
    </row>
    <row r="26" customFormat="false" ht="15" hidden="false" customHeight="false" outlineLevel="0" collapsed="false">
      <c r="A26" s="4" t="s">
        <v>560</v>
      </c>
      <c r="B26" s="4" t="s">
        <v>555</v>
      </c>
      <c r="C26" s="4" t="s">
        <v>561</v>
      </c>
      <c r="D26" s="4" t="s">
        <v>557</v>
      </c>
      <c r="E26" s="43" t="n">
        <v>450</v>
      </c>
      <c r="F26" s="43" t="n">
        <v>475</v>
      </c>
      <c r="G26" s="43" t="n">
        <v>522</v>
      </c>
      <c r="H26" s="43" t="n">
        <v>445</v>
      </c>
      <c r="I26" s="4" t="s">
        <v>497</v>
      </c>
      <c r="J26" s="21" t="n">
        <f aca="false">IFERROR((H26-G26)/((E26+F26)/2-G26),"")</f>
        <v>1.29411764705882</v>
      </c>
      <c r="K26" s="21" t="n">
        <f aca="false">IFERROR(H26/((E26+F26)/2),"")</f>
        <v>0.962162162162162</v>
      </c>
    </row>
    <row r="27" customFormat="false" ht="15" hidden="false" customHeight="false" outlineLevel="0" collapsed="false">
      <c r="A27" s="4" t="s">
        <v>562</v>
      </c>
      <c r="B27" s="4" t="s">
        <v>555</v>
      </c>
      <c r="C27" s="4" t="s">
        <v>563</v>
      </c>
      <c r="D27" s="4" t="s">
        <v>557</v>
      </c>
      <c r="E27" s="43" t="n">
        <v>100</v>
      </c>
      <c r="F27" s="43" t="n">
        <v>150</v>
      </c>
      <c r="G27" s="43" t="n">
        <v>0</v>
      </c>
      <c r="H27" s="43" t="n">
        <v>-21</v>
      </c>
      <c r="I27" s="4" t="s">
        <v>494</v>
      </c>
      <c r="J27" s="21" t="n">
        <f aca="false">IFERROR((H27-G27)/((E27+F27)/2-G27),"")</f>
        <v>-0.168</v>
      </c>
      <c r="K27" s="21" t="n">
        <f aca="false">IFERROR(H27/((E27+F27)/2),"")</f>
        <v>-0.168</v>
      </c>
    </row>
    <row r="28" customFormat="false" ht="15" hidden="false" customHeight="false" outlineLevel="0" collapsed="false">
      <c r="A28" s="4" t="s">
        <v>564</v>
      </c>
      <c r="B28" s="4" t="s">
        <v>555</v>
      </c>
      <c r="C28" s="4" t="s">
        <v>565</v>
      </c>
      <c r="D28" s="4" t="s">
        <v>557</v>
      </c>
      <c r="E28" s="43" t="n">
        <v>200</v>
      </c>
      <c r="F28" s="43" t="n">
        <v>200</v>
      </c>
      <c r="G28" s="43" t="n">
        <v>170</v>
      </c>
      <c r="H28" s="43" t="n">
        <v>160</v>
      </c>
      <c r="I28" s="4" t="s">
        <v>497</v>
      </c>
      <c r="J28" s="21" t="n">
        <f aca="false">IFERROR((H28-G28)/((E28+F28)/2-G28),"")</f>
        <v>-0.333333333333333</v>
      </c>
      <c r="K28" s="21" t="n">
        <f aca="false">IFERROR(H28/((E28+F28)/2),"")</f>
        <v>0.8</v>
      </c>
    </row>
    <row r="29" customFormat="false" ht="15" hidden="false" customHeight="false" outlineLevel="0" collapsed="false">
      <c r="A29" s="4" t="s">
        <v>566</v>
      </c>
      <c r="B29" s="4" t="s">
        <v>555</v>
      </c>
      <c r="C29" s="4" t="s">
        <v>567</v>
      </c>
      <c r="D29" s="4" t="s">
        <v>513</v>
      </c>
      <c r="E29" s="43" t="n">
        <v>100</v>
      </c>
      <c r="F29" s="43" t="n">
        <v>100</v>
      </c>
      <c r="G29" s="43" t="n">
        <v>0</v>
      </c>
      <c r="H29" s="43" t="n">
        <v>0</v>
      </c>
      <c r="I29" s="4" t="s">
        <v>514</v>
      </c>
      <c r="J29" s="21" t="n">
        <f aca="false">IFERROR((H29-G29)/((E29+F29)/2-G29),"")</f>
        <v>0</v>
      </c>
      <c r="K29" s="21" t="n">
        <f aca="false">IFERROR(H29/((E29+F29)/2),"")</f>
        <v>0</v>
      </c>
    </row>
    <row r="30" customFormat="false" ht="15" hidden="false" customHeight="false" outlineLevel="0" collapsed="false">
      <c r="A30" s="4" t="s">
        <v>568</v>
      </c>
      <c r="B30" s="4" t="s">
        <v>555</v>
      </c>
      <c r="C30" s="4" t="s">
        <v>569</v>
      </c>
      <c r="D30" s="4" t="s">
        <v>513</v>
      </c>
      <c r="E30" s="43" t="n">
        <v>300</v>
      </c>
      <c r="F30" s="43" t="n">
        <v>300</v>
      </c>
      <c r="G30" s="43" t="n">
        <v>0</v>
      </c>
      <c r="H30" s="43" t="n">
        <v>0</v>
      </c>
      <c r="I30" s="4" t="s">
        <v>514</v>
      </c>
      <c r="J30" s="21" t="n">
        <f aca="false">IFERROR((H30-G30)/((E30+F30)/2-G30),"")</f>
        <v>0</v>
      </c>
      <c r="K30" s="21" t="n">
        <f aca="false">IFERROR(H30/((E30+F30)/2),"")</f>
        <v>0</v>
      </c>
    </row>
    <row r="31" customFormat="false" ht="15" hidden="false" customHeight="false" outlineLevel="0" collapsed="false">
      <c r="A31" s="4" t="s">
        <v>570</v>
      </c>
      <c r="B31" s="4" t="s">
        <v>571</v>
      </c>
      <c r="C31" s="4" t="s">
        <v>572</v>
      </c>
      <c r="D31" s="4" t="s">
        <v>557</v>
      </c>
      <c r="E31" s="43" t="n">
        <v>2</v>
      </c>
      <c r="F31" s="43" t="n">
        <v>4</v>
      </c>
      <c r="G31" s="4"/>
      <c r="H31" s="4"/>
      <c r="I31" s="4" t="s">
        <v>494</v>
      </c>
      <c r="J31" s="21" t="n">
        <f aca="false">IFERROR((H31-G31)/((E31+F31)/2-G31),"")</f>
        <v>0</v>
      </c>
      <c r="K31" s="21" t="n">
        <f aca="false">IFERROR(H31/((E31+F31)/2),"")</f>
        <v>0</v>
      </c>
    </row>
    <row r="34" customFormat="false" ht="23.85" hidden="false" customHeight="false" outlineLevel="0" collapsed="false">
      <c r="A34" s="3" t="s">
        <v>481</v>
      </c>
      <c r="B34" s="3" t="s">
        <v>573</v>
      </c>
      <c r="C34" s="3" t="s">
        <v>574</v>
      </c>
      <c r="D34" s="3" t="s">
        <v>575</v>
      </c>
      <c r="E34" s="3" t="s">
        <v>576</v>
      </c>
      <c r="F34" s="3" t="s">
        <v>577</v>
      </c>
    </row>
    <row r="35" customFormat="false" ht="15" hidden="false" customHeight="false" outlineLevel="0" collapsed="false">
      <c r="A35" s="4" t="s">
        <v>491</v>
      </c>
      <c r="B35" s="44" t="n">
        <v>6</v>
      </c>
      <c r="C35" s="44" t="n">
        <v>0.25</v>
      </c>
      <c r="D35" s="44" t="n">
        <v>0.5</v>
      </c>
      <c r="E35" s="44" t="n">
        <v>0</v>
      </c>
      <c r="F35" s="44" t="n">
        <v>38</v>
      </c>
    </row>
    <row r="36" customFormat="false" ht="15" hidden="false" customHeight="false" outlineLevel="0" collapsed="false">
      <c r="A36" s="4" t="s">
        <v>516</v>
      </c>
      <c r="B36" s="44" t="n">
        <v>3</v>
      </c>
      <c r="C36" s="44" t="n">
        <v>0</v>
      </c>
      <c r="D36" s="44" t="n">
        <v>-0.85</v>
      </c>
      <c r="E36" s="44" t="n">
        <v>3</v>
      </c>
      <c r="F36" s="44" t="n">
        <v>0</v>
      </c>
    </row>
    <row r="37" customFormat="false" ht="15" hidden="false" customHeight="false" outlineLevel="0" collapsed="false">
      <c r="A37" s="4" t="s">
        <v>526</v>
      </c>
      <c r="B37" s="44" t="n">
        <v>2</v>
      </c>
      <c r="C37" s="44" t="n">
        <v>0</v>
      </c>
      <c r="D37" s="44" t="n">
        <v>0.33</v>
      </c>
      <c r="E37" s="44" t="n">
        <v>2</v>
      </c>
      <c r="F37" s="44" t="n">
        <v>20</v>
      </c>
    </row>
    <row r="38" customFormat="false" ht="15" hidden="false" customHeight="false" outlineLevel="0" collapsed="false">
      <c r="A38" s="4" t="s">
        <v>532</v>
      </c>
      <c r="B38" s="44" t="n">
        <v>2</v>
      </c>
      <c r="C38" s="44" t="n">
        <v>0</v>
      </c>
      <c r="D38" s="44" t="n">
        <v>0.27</v>
      </c>
      <c r="E38" s="44" t="n">
        <v>0</v>
      </c>
      <c r="F38" s="44" t="n">
        <v>27</v>
      </c>
    </row>
    <row r="39" customFormat="false" ht="15" hidden="false" customHeight="false" outlineLevel="0" collapsed="false">
      <c r="A39" s="4" t="s">
        <v>537</v>
      </c>
      <c r="B39" s="44" t="n">
        <v>5</v>
      </c>
      <c r="C39" s="44" t="n">
        <v>0.8</v>
      </c>
      <c r="D39" s="44" t="n">
        <v>1.15</v>
      </c>
      <c r="E39" s="44" t="n">
        <v>1</v>
      </c>
      <c r="F39" s="44" t="n">
        <v>82</v>
      </c>
    </row>
    <row r="40" customFormat="false" ht="15" hidden="false" customHeight="false" outlineLevel="0" collapsed="false">
      <c r="A40" s="4" t="s">
        <v>552</v>
      </c>
      <c r="B40" s="44" t="n">
        <v>1</v>
      </c>
      <c r="C40" s="44" t="n">
        <v>1</v>
      </c>
      <c r="D40" s="44" t="n">
        <v>1.1</v>
      </c>
      <c r="E40" s="44" t="n">
        <v>0</v>
      </c>
      <c r="F40" s="44" t="n">
        <v>70</v>
      </c>
    </row>
    <row r="41" customFormat="false" ht="15" hidden="false" customHeight="false" outlineLevel="0" collapsed="false">
      <c r="A41" s="4" t="s">
        <v>555</v>
      </c>
      <c r="B41" s="44" t="n">
        <v>5</v>
      </c>
      <c r="C41" s="44" t="n">
        <v>0.8</v>
      </c>
      <c r="D41" s="44" t="n">
        <v>1.15</v>
      </c>
      <c r="E41" s="44" t="n">
        <v>0</v>
      </c>
      <c r="F41" s="44" t="n">
        <v>90</v>
      </c>
    </row>
    <row r="42" customFormat="false" ht="15" hidden="false" customHeight="false" outlineLevel="0" collapsed="false">
      <c r="A42" s="4" t="s">
        <v>571</v>
      </c>
      <c r="B42" s="44" t="n">
        <v>1</v>
      </c>
      <c r="C42" s="44" t="n">
        <v>0</v>
      </c>
      <c r="D42" s="4"/>
      <c r="E42" s="44" t="n">
        <v>0</v>
      </c>
      <c r="F42" s="44" t="n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2026-09-26T22:28:29Z</dcterms:created>
  <dc:creator>openpyxl</dc:creator>
  <dc:description/>
  <dc:language>en-US</dc:language>
  <cp:lastModifiedBy/>
  <dcterms:modified xsi:type="dcterms:W3CDTF">2026-09-26T22:28:29Z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