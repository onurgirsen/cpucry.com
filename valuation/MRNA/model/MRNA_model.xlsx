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Summary" sheetId="2" state="visible" r:id="rId4"/>
    <sheet name="Drivers" sheetId="3" state="visible" r:id="rId5"/>
    <sheet name="SOTP" sheetId="4" state="visible" r:id="rId6"/>
    <sheet name="M_Failure" sheetId="5" state="visible" r:id="rId7"/>
    <sheet name="M_Bear" sheetId="6" state="visible" r:id="rId8"/>
    <sheet name="M_Base" sheetId="7" state="visible" r:id="rId9"/>
    <sheet name="M_Bull" sheetId="8" state="visible" r:id="rId10"/>
    <sheet name="M_BlueSky" sheetId="9" state="visible" r:id="rId11"/>
    <sheet name="History" sheetId="10" state="visible" r:id="rId12"/>
    <sheet name="CashBridge" sheetId="11" state="visible" r:id="rId13"/>
    <sheet name="Guidance" sheetId="12" state="visible" r:id="rId14"/>
    <sheet name="Comps" sheetId="13" state="visible" r:id="rId15"/>
    <sheet name="MonteCarlo" sheetId="14" state="visible" r:id="rId16"/>
    <sheet name="Tornado" sheetId="15" state="visible" r:id="rId17"/>
    <sheet name="Sources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<sst xmlns="http://schemas.openxmlformats.org/spreadsheetml/2006/main" count="1560" uniqueCount="717">
  <si>
    <t xml:space="preserve">Moderna, Inc. (MRNA) - Intrinsic Value Model</t>
  </si>
  <si>
    <t xml:space="preserve">Valuation date 2026-09-30 | Prices as of 2026-09-25/28 | USD billions unless stated | Analysis, not investment advice</t>
  </si>
  <si>
    <t xml:space="preserve">Market price ($)</t>
  </si>
  <si>
    <t xml:space="preserve">Probability-weighted DCF ($/share)</t>
  </si>
  <si>
    <t xml:space="preserve">Blended intrinsic value ($/share)</t>
  </si>
  <si>
    <t xml:space="preserve">Base scenario ($/share)</t>
  </si>
  <si>
    <t xml:space="preserve">Bull scenario ($/share)</t>
  </si>
  <si>
    <t xml:space="preserve">Blue-sky ceiling ($/share)</t>
  </si>
  <si>
    <t xml:space="preserve">Monte Carlo P10 / P50 / P90</t>
  </si>
  <si>
    <t xml:space="preserve">WACC (build-up)</t>
  </si>
  <si>
    <t xml:space="preserve">Legend: blue = hard-coded input (edit on Drivers); black = formula; green = link to another sheet; yellow fill = key assumption.</t>
  </si>
  <si>
    <t xml:space="preserve">How to use: change any blue cell on Drivers (e.g. INT melanoma peak, PoS, price factor, WACC) and every scenario, the SOTP and the Summary recalculate.</t>
  </si>
  <si>
    <t xml:space="preserve">M_* sheets are identical formula grids; only cell C2 (scenario index) differs. Monte Carlo, tornado, comps and guidance tabs are pasted engine outputs.</t>
  </si>
  <si>
    <t xml:space="preserve">Engine: scripts/valuation_engine.py reads data/assumptions.json; scripts/audit_model.py recalculates this workbook in LibreOffice and checks it matches the engine.</t>
  </si>
  <si>
    <t xml:space="preserve">Moderna (MRNA) - Probability-weighted intrinsic value</t>
  </si>
  <si>
    <t xml:space="preserve">Analysis, not investment advice. Values in $/share unless stated. Valuation date 2026-09-30.</t>
  </si>
  <si>
    <t xml:space="preserve">Scenario</t>
  </si>
  <si>
    <t xml:space="preserve">Probability</t>
  </si>
  <si>
    <t xml:space="preserve">Value/share</t>
  </si>
  <si>
    <t xml:space="preserve">EV ($B)</t>
  </si>
  <si>
    <t xml:space="preserve">Equity ($B)</t>
  </si>
  <si>
    <t xml:space="preserve">TV share of EV</t>
  </si>
  <si>
    <t xml:space="preserve">vs price</t>
  </si>
  <si>
    <t xml:space="preserve">Failure</t>
  </si>
  <si>
    <t xml:space="preserve">Bear</t>
  </si>
  <si>
    <t xml:space="preserve">Base</t>
  </si>
  <si>
    <t xml:space="preserve">Bull</t>
  </si>
  <si>
    <t xml:space="preserve">Blue-sky (ceiling, unweighted)</t>
  </si>
  <si>
    <t xml:space="preserve">Probability-weighted DCF value</t>
  </si>
  <si>
    <t xml:space="preserve">Method</t>
  </si>
  <si>
    <t xml:space="preserve">Low</t>
  </si>
  <si>
    <t xml:space="preserve">Mid</t>
  </si>
  <si>
    <t xml:space="preserve">High</t>
  </si>
  <si>
    <t xml:space="preserve">Weight</t>
  </si>
  <si>
    <t xml:space="preserve">Weighted</t>
  </si>
  <si>
    <t xml:space="preserve">Rationale</t>
  </si>
  <si>
    <t xml:space="preserve">Scenario rNPV/FCFF DCF (prob.-weighted)</t>
  </si>
  <si>
    <t xml:space="preserve">Primary; asset-level risk explicit</t>
  </si>
  <si>
    <t xml:space="preserve">Monte Carlo (engine output, 20k draws)</t>
  </si>
  <si>
    <t xml:space="preserve">P10 / mean / P90 from valuation_engine.py</t>
  </si>
  <si>
    <t xml:space="preserve">Forward peer multiple (EV/Sales 2030E)</t>
  </si>
  <si>
    <t xml:space="preserve">Regression on 13 commercial peers</t>
  </si>
  <si>
    <t xml:space="preserve">Transaction reference (EV/risk-adj. peak)</t>
  </si>
  <si>
    <t xml:space="preserve">Control value; includes acquirer synergies</t>
  </si>
  <si>
    <t xml:space="preserve">Earnings power value (no growth)</t>
  </si>
  <si>
    <t xml:space="preserve">What exists today</t>
  </si>
  <si>
    <t xml:space="preserve">Asset / liquidation floor</t>
  </si>
  <si>
    <t xml:space="preserve">Downside floor</t>
  </si>
  <si>
    <t xml:space="preserve">Blended intrinsic value (credibility-weighted)</t>
  </si>
  <si>
    <t xml:space="preserve">Market price</t>
  </si>
  <si>
    <t xml:space="preserve">Blended value vs price</t>
  </si>
  <si>
    <t xml:space="preserve">Monte Carlo distribution (engine output)</t>
  </si>
  <si>
    <t xml:space="preserve">Statistic</t>
  </si>
  <si>
    <t xml:space="preserve">$/share</t>
  </si>
  <si>
    <t xml:space="preserve">P5</t>
  </si>
  <si>
    <t xml:space="preserve">P10</t>
  </si>
  <si>
    <t xml:space="preserve">P25</t>
  </si>
  <si>
    <t xml:space="preserve">P50</t>
  </si>
  <si>
    <t xml:space="preserve">P75</t>
  </si>
  <si>
    <t xml:space="preserve">P90</t>
  </si>
  <si>
    <t xml:space="preserve">P95</t>
  </si>
  <si>
    <t xml:space="preserve">P99</t>
  </si>
  <si>
    <t xml:space="preserve">mean</t>
  </si>
  <si>
    <t xml:space="preserve">P(value &gt; market price)</t>
  </si>
  <si>
    <t xml:space="preserve">Reverse DCF (engine output)</t>
  </si>
  <si>
    <t xml:space="preserve">Implied INT risk-adj. peak sales ($B), all else base</t>
  </si>
  <si>
    <t xml:space="preserve">Required unadjusted INT peak if every indication succeeds, base terms ($B)</t>
  </si>
  <si>
    <t xml:space="preserve">...and with bull price/margin/respiratory ($B)</t>
  </si>
  <si>
    <t xml:space="preserve">Auxiliary calculations</t>
  </si>
  <si>
    <t xml:space="preserve">Base-case unadjusted INT peak (10 indications, $B)</t>
  </si>
  <si>
    <t xml:space="preserve">Regression const (ln EV/S)</t>
  </si>
  <si>
    <t xml:space="preserve">Implied WACC on base cash flows</t>
  </si>
  <si>
    <t xml:space="preserve">Regression coef: 3y revenue CAGR</t>
  </si>
  <si>
    <t xml:space="preserve">Implied probability of Blue-sky vs Bull</t>
  </si>
  <si>
    <t xml:space="preserve">Regression coef: operating margin</t>
  </si>
  <si>
    <t xml:space="preserve">Base attributable revenue 2030</t>
  </si>
  <si>
    <t xml:space="preserve">3y CAGR 2027-30</t>
  </si>
  <si>
    <t xml:space="preserve">EBIT margin 2030</t>
  </si>
  <si>
    <t xml:space="preserve">Fitted EV/Sales</t>
  </si>
  <si>
    <t xml:space="preserve">PV of FCFF Q4-26..2030</t>
  </si>
  <si>
    <t xml:space="preserve">Base WACC</t>
  </si>
  <si>
    <t xml:space="preserve">Equity @ 0.75x fitted multiple</t>
  </si>
  <si>
    <t xml:space="preserve">Per share @ 0.75x</t>
  </si>
  <si>
    <t xml:space="preserve">Equity @ 1.0x fitted multiple</t>
  </si>
  <si>
    <t xml:space="preserve">Per share @ 1.0x</t>
  </si>
  <si>
    <t xml:space="preserve">Equity @ 1.25x fitted multiple</t>
  </si>
  <si>
    <t xml:space="preserve">Per share @ 1.25x</t>
  </si>
  <si>
    <t xml:space="preserve">Base max attributable revenue (risk-adj. peak)</t>
  </si>
  <si>
    <t xml:space="preserve">EV / risk-adj. peak sales - low</t>
  </si>
  <si>
    <t xml:space="preserve">EV / risk-adj. peak sales - high</t>
  </si>
  <si>
    <t xml:space="preserve">Transaction value/share - low</t>
  </si>
  <si>
    <t xml:space="preserve">Transaction value/share - high</t>
  </si>
  <si>
    <t xml:space="preserve">EPV: steady gross margin (no flu/combo scale)</t>
  </si>
  <si>
    <t xml:space="preserve">EPV: EBIT on $2.04B revenue</t>
  </si>
  <si>
    <t xml:space="preserve">EPV: NOPAT</t>
  </si>
  <si>
    <t xml:space="preserve">EPV: equity</t>
  </si>
  <si>
    <t xml:space="preserve">EPV per share</t>
  </si>
  <si>
    <t xml:space="preserve">DRIVERS - every model input (blue = hard-coded input; edit here). Units: USD billions unless stated.</t>
  </si>
  <si>
    <t xml:space="preserve">1. Market &amp; capital structure (valuation date 2026-09-30)</t>
  </si>
  <si>
    <t xml:space="preserve">Market price ($/share)</t>
  </si>
  <si>
    <t xml:space="preserve">Nasdaq close 2026-09-25 $198.88; intraday 2026-09-28 ~$198-199 (data/mrna_price_daily.csv, data/peer_quotes_2026-09-28.json)</t>
  </si>
  <si>
    <t xml:space="preserve">Cash &amp; investments, est. 9/30/26</t>
  </si>
  <si>
    <t xml:space="preserve">Jun-30-26 $6.910B (10-Q) - $0.950B Arbutus payment (Jul-26) + $2.628B convert net of capped call (8-K 2026-09-01: 2.9573-0.3288) - ~$0.55B est. Q3 operating burn (implied by YE-26 guide $4.7-5.2B ex-convert, 8-K 2026-07-31). Q3-26 10-Q not yet filed: ESTIMATE</t>
  </si>
  <si>
    <t xml:space="preserve">Ares term loan</t>
  </si>
  <si>
    <t xml:space="preserve">Ares senior secured, SOFR+5.50% (~9.2%), matures 2030-11-24 (10-Q Q2-26 note 11)</t>
  </si>
  <si>
    <t xml:space="preserve">Convertible notes 2032 (face)</t>
  </si>
  <si>
    <t xml:space="preserve">0.00% notes due 2032-03-01, capped call to $392.62 (8-K 2026-09-01). Treated as debt at face; net share dilution only above the cap.</t>
  </si>
  <si>
    <t xml:space="preserve">Conversion price ($)</t>
  </si>
  <si>
    <t xml:space="preserve">Capped-call cap ($)</t>
  </si>
  <si>
    <t xml:space="preserve">Convert shares (m)</t>
  </si>
  <si>
    <t xml:space="preserve">Finance leases</t>
  </si>
  <si>
    <t xml:space="preserve">Arbutus contingent payment</t>
  </si>
  <si>
    <t xml:space="preserve">Settlement 8-K 2026-03-05: $1.3B due if Federal Circuit affirms rejection of s.1498 defence; pro-rated if partial. Probabilities JUDGMENT (Fed. Cir. affirmance base rate ~70%).</t>
  </si>
  <si>
    <t xml:space="preserve">P(pay in full)</t>
  </si>
  <si>
    <t xml:space="preserve">P(partial)</t>
  </si>
  <si>
    <t xml:space="preserve">Partial fraction</t>
  </si>
  <si>
    <t xml:space="preserve">Years to payment</t>
  </si>
  <si>
    <t xml:space="preserve">Pfizer/BioNTech litigation option</t>
  </si>
  <si>
    <t xml:space="preserve">EP'949 revoked by EPO Board of Appeal Sep-2026 (JUVE Patent), nullifying UK/Dusseldorf wins; US patents invalidated at PTAB (on appeal). Residual option value JUDGMENT.</t>
  </si>
  <si>
    <t xml:space="preserve">Basic shares (m)</t>
  </si>
  <si>
    <t xml:space="preserve">Nasdaq market cap $79.57B / $199.285 = 399.3M (2026-09-28); 10-Q Q2-26 weighted basic 398M</t>
  </si>
  <si>
    <t xml:space="preserve">Options (m)</t>
  </si>
  <si>
    <t xml:space="preserve">10-K 2025: 27.18M options @ $38.63 WAEP, 11.20M RSU/PSU; 10-Q Q2-26: 42M anti-dilutive equivalents. 2026 split ESTIMATED.</t>
  </si>
  <si>
    <t xml:space="preserve">Options WAEP ($)</t>
  </si>
  <si>
    <t xml:space="preserve">RSU/PSU (m)</t>
  </si>
  <si>
    <t xml:space="preserve">2. Discount rate &amp; tax</t>
  </si>
  <si>
    <t xml:space="preserve">Risk-free (10y UST)</t>
  </si>
  <si>
    <t xml:space="preserve">10-yr UST 2026-09-25 (home.treasury.gov, data/ust_yields_2026.csv)</t>
  </si>
  <si>
    <t xml:space="preserve">Equity risk premium</t>
  </si>
  <si>
    <t xml:space="preserve">JUDGMENT; implied US ERP range 4-5.5%</t>
  </si>
  <si>
    <t xml:space="preserve">Beta</t>
  </si>
  <si>
    <t xml:space="preserve">Weekly vs SPY, 3y ex Aug-19-2026 jump = 1.32, 5y = 1.17; Blume-adjusted 1.11-1.22 (data/beta_estimates.json)</t>
  </si>
  <si>
    <t xml:space="preserve">Pre-tax cost of debt</t>
  </si>
  <si>
    <t xml:space="preserve">Debt weight</t>
  </si>
  <si>
    <t xml:space="preserve">WACC (build-up; used by Base)</t>
  </si>
  <si>
    <t xml:space="preserve">(1-4.5pct) x CoE [5.17 + 1.20 x 4.5 = 10.57pct] + 4.5pct x 7.5pct pre-tax (NOLs remove the debt tax shield) = 10.43pct</t>
  </si>
  <si>
    <t xml:space="preserve">Cash tax rate</t>
  </si>
  <si>
    <t xml:space="preserve">21% federal + state, less FDII/credits; JUDGMENT</t>
  </si>
  <si>
    <t xml:space="preserve">NOL / deduction pool at 9/30/26</t>
  </si>
  <si>
    <t xml:space="preserve">Federal NOL $4.1B (10-K 2025 note 14, non-expiring) + 2026 tax loss ~$2.9B + ~$5.5B of unamortized capitalised R&amp;E deductible after the 2025 tax act (DTA $1.693B / ~23%, domestic portion) -&gt; ~$12.5B. ESTIMATE.</t>
  </si>
  <si>
    <t xml:space="preserve">NOL usage limit (% of taxable income)</t>
  </si>
  <si>
    <t xml:space="preserve">Q4-2026 stub FCF</t>
  </si>
  <si>
    <t xml:space="preserve">Q4-26 operating cash burn implied by YE-26 cash guide midpoint $4.95B (8-K 2026-07-31) after est. Q3 burn</t>
  </si>
  <si>
    <t xml:space="preserve">2026 revenue base (for working capital)</t>
  </si>
  <si>
    <t xml:space="preserve">Guidance-tracker base case (data/guidance_forward_adjusted.csv)</t>
  </si>
  <si>
    <t xml:space="preserve">3. Scenario levers  (columns D..H = Failure, Bear, Base, Bull, Blue-sky; Blue-sky is a ceiling test, not weighted)</t>
  </si>
  <si>
    <t xml:space="preserve">Lever</t>
  </si>
  <si>
    <t xml:space="preserve">Blue-sky</t>
  </si>
  <si>
    <t xml:space="preserve">Note</t>
  </si>
  <si>
    <t xml:space="preserve">COVID revenue multiplier</t>
  </si>
  <si>
    <t xml:space="preserve">Flu (mFLUSIVA) peak multiplier</t>
  </si>
  <si>
    <t xml:space="preserve">Flu+COVID combo peak multiplier</t>
  </si>
  <si>
    <t xml:space="preserve">Norovirus PoS</t>
  </si>
  <si>
    <t xml:space="preserve">Respiratory gross-margin shift</t>
  </si>
  <si>
    <t xml:space="preserve">INT melanoma PoS</t>
  </si>
  <si>
    <t xml:space="preserve">INT melanoma peak global sales ($B, before price factor)</t>
  </si>
  <si>
    <t xml:space="preserve">INT melanoma launch year</t>
  </si>
  <si>
    <t xml:space="preserve">INT other-indication PoS multiplier (&gt;=10 =&gt; all 100%)</t>
  </si>
  <si>
    <t xml:space="preserve">INT other-indication peak multiplier</t>
  </si>
  <si>
    <t xml:space="preserve">INT price factor (1.0 = US net ~$300k)</t>
  </si>
  <si>
    <t xml:space="preserve">INT mature profit-pool margin</t>
  </si>
  <si>
    <t xml:space="preserve">Unallocated R&amp;D multiplier</t>
  </si>
  <si>
    <t xml:space="preserve">Future-pipeline credit factor</t>
  </si>
  <si>
    <t xml:space="preserve">WACC</t>
  </si>
  <si>
    <t xml:space="preserve">Terminal growth</t>
  </si>
  <si>
    <t xml:space="preserve">Other patent litigation (expected cost)</t>
  </si>
  <si>
    <t xml:space="preserve">Scenario probability</t>
  </si>
  <si>
    <t xml:space="preserve">Positive Ph3 oncology BLAs are approved ~85-90% of the time; interim success at a pre-specified IA implies HR well below 0.75 but magnitude undisclosed until ESMO. Launch-vs-consensus base rate: roughly 2/3 of launches under-deliver sell-side peak forecasts. Moderna's own launch record: Spikevax (pandemic) &gt;&gt; guide; mRESVIA &lt;&lt; guide; mNEXSPIKE in line. Revenue-guidance confidence 65/100 (1y) falling to 47 (3y). -&gt; downside-skewed weights. JUDGMENT.</t>
  </si>
  <si>
    <t xml:space="preserve">Probabilities sum (must be 100%)</t>
  </si>
  <si>
    <t xml:space="preserve">4. Respiratory franchise (paths are 2027..2032, then rules below)</t>
  </si>
  <si>
    <t xml:space="preserve">COVID revenue path 2027-32</t>
  </si>
  <si>
    <t xml:space="preserve">2025 COVID sales $1.81B (10-K); 2026 guide up to +10% total revenue; 2027 EU tender opening (Analyst Day 2025) offsets US policy headwinds; combo cannibalises from 2028. JUDGMENT anchored on guidance-confidence 65/100.</t>
  </si>
  <si>
    <t xml:space="preserve">COVID growth after 2032</t>
  </si>
  <si>
    <t xml:space="preserve">Flu peak revenue</t>
  </si>
  <si>
    <t xml:space="preserve">mFLUSIVA BLA 125869 approved 2026-08-05 (50+; accelerated for 65+), rVE 26.6% vs standard dose (FDA SBRA). No ACIP preferential rec for 65+ yet. EU/CA/AU under review.</t>
  </si>
  <si>
    <t xml:space="preserve">Flu launch year</t>
  </si>
  <si>
    <t xml:space="preserve">Flu ramp years</t>
  </si>
  <si>
    <t xml:space="preserve">Combo peak revenue</t>
  </si>
  <si>
    <t xml:space="preserve">mCOMBRIAX approved EU Apr-2026; US re-filing awaiting FDA guidance; mgmt targets US 2028 (Analyst Day 2025).</t>
  </si>
  <si>
    <t xml:space="preserve">Combo launch year</t>
  </si>
  <si>
    <t xml:space="preserve">Combo ramp years</t>
  </si>
  <si>
    <t xml:space="preserve">Combo US approval PoS</t>
  </si>
  <si>
    <t xml:space="preserve">Combo US share of peak</t>
  </si>
  <si>
    <t xml:space="preserve">RSV peak revenue</t>
  </si>
  <si>
    <t xml:space="preserve">mRESVIA: $8M 2025 sales, $10M 1H-26 (10-K/10-Q); EU joint procurement up to 24M doses (Q2-26 release).</t>
  </si>
  <si>
    <t xml:space="preserve">Norovirus peak revenue</t>
  </si>
  <si>
    <t xml:space="preserve">mRNA-1403 Ph3 (NCT06592794, ~38k pts) missed early-success criteria at interim Jul-2026; additional cohort. PoS JUDGMENT (industry Ph3 vaccine PoS ~70%, cut for interim miss).</t>
  </si>
  <si>
    <t xml:space="preserve">Norovirus launch year</t>
  </si>
  <si>
    <t xml:space="preserve">Norovirus ramp years</t>
  </si>
  <si>
    <t xml:space="preserve">Other revenue (stand-ready, grants...)</t>
  </si>
  <si>
    <t xml:space="preserve">Stand-ready manufacturing ($80M 2025, $63M 1H-26), grants, collaboration, pandemic contracts</t>
  </si>
  <si>
    <t xml:space="preserve">Gross margin path 2027-32</t>
  </si>
  <si>
    <t xml:space="preserve">Product GM ex-settlement 2025 72% on sales but 2026 COGS guide $0.8B ex-settlement (~40% of sales incl. unutilised capacity + write-downs); mgmt: +10pts over 3 yrs (Analyst Day 2025).</t>
  </si>
  <si>
    <t xml:space="preserve">Blackstone royalty on flu+combo</t>
  </si>
  <si>
    <t xml:space="preserve">Up to $750M funding for flu; low-single-digit royalty + up to $750M sales milestones on flu &amp; combo if US approval relied on funded data (10-Q Q2-26 note 5). mFLUSIVA approval relied on P304 -&gt; triggered.</t>
  </si>
  <si>
    <t xml:space="preserve">Blackstone sales milestones cap</t>
  </si>
  <si>
    <t xml:space="preserve">Milestone accrual rate (% of flu+combo)</t>
  </si>
  <si>
    <t xml:space="preserve">Respiratory S&amp;M % revenue</t>
  </si>
  <si>
    <t xml:space="preserve">Respiratory S&amp;M floor</t>
  </si>
  <si>
    <t xml:space="preserve">Respiratory R&amp;D 2027-32 (then +2%/yr)</t>
  </si>
  <si>
    <t xml:space="preserve">Variant updates, PMRs (P910 confirmatory flu study), norovirus Ph3, EBV/CMV/Lyme/H5. JUDGMENT allocation of guided R&amp;D ($2.9B 2026).</t>
  </si>
  <si>
    <t xml:space="preserve">Working capital % of revenue change</t>
  </si>
  <si>
    <t xml:space="preserve">5. Intismeran (INT) - 50/50 profit share with Merck</t>
  </si>
  <si>
    <t xml:space="preserve">Moderna share of profit pool</t>
  </si>
  <si>
    <t xml:space="preserve">Costs and profits shared 50/50 worldwide (PCV/INT Agreement; 10-K 2025)</t>
  </si>
  <si>
    <t xml:space="preserve">Uptake curve (share of peak, yrs 0..6)</t>
  </si>
  <si>
    <t xml:space="preserve">Years before exclusivity erosion</t>
  </si>
  <si>
    <t xml:space="preserve">Price/volume step at erosion</t>
  </si>
  <si>
    <t xml:space="preserve">Annual decay after erosion</t>
  </si>
  <si>
    <t xml:space="preserve">Profit-pool margin at launch</t>
  </si>
  <si>
    <t xml:space="preserve">Profit pool margin before shared R&amp;D: COGS ~30% blended at scale (US $300k vs ~$70k/pt mfg+sequencing), S&amp;M ~12%, G&amp;A ~3%. JUDGMENT.</t>
  </si>
  <si>
    <t xml:space="preserve">Years to mature margin</t>
  </si>
  <si>
    <t xml:space="preserve">Moderna INT development cost 2027-34</t>
  </si>
  <si>
    <t xml:space="preserve">Moderna net INT expense $97M/qtr (10-Q Q2-26 note 5) -&gt; ~$0.4B/yr</t>
  </si>
  <si>
    <t xml:space="preserve">INT development cost after 2034</t>
  </si>
  <si>
    <t xml:space="preserve">Indication</t>
  </si>
  <si>
    <t xml:space="preserve">Phase</t>
  </si>
  <si>
    <t xml:space="preserve">Launch</t>
  </si>
  <si>
    <t xml:space="preserve">Peak ($B)</t>
  </si>
  <si>
    <t xml:space="preserve">PoS</t>
  </si>
  <si>
    <t xml:space="preserve">Source / note</t>
  </si>
  <si>
    <t xml:space="preserve">Adjuvant melanoma IIB-IV (INTerpath-001)</t>
  </si>
  <si>
    <t xml:space="preserve">Ph3 positive</t>
  </si>
  <si>
    <t xml:space="preserve">Met RFS &amp; DMFS at interim (8/19/26); ESMO Oct-23-27 2026; BTD &amp; PRIME. US ~14k/yr IIB-IV resected, ~8k on adjuvant PD-1 (ACS/SEER stage mix).</t>
  </si>
  <si>
    <t xml:space="preserve">Adjuvant NSCLC II-IIIB (INTerpath-002)</t>
  </si>
  <si>
    <t xml:space="preserve">Ph3</t>
  </si>
  <si>
    <t xml:space="preserve">NCT06077760, n=868, primary completion Jun-2030. Goldman: melanoma+lung $10.9B peak.</t>
  </si>
  <si>
    <t xml:space="preserve">Post-neoadjuvant non-pCR NSCLC (INTerpath-009)</t>
  </si>
  <si>
    <t xml:space="preserve">NCT06623422, n=680, PCD May-2033</t>
  </si>
  <si>
    <t xml:space="preserve">Resected stage I NSCLC (INTerpath-014)</t>
  </si>
  <si>
    <t xml:space="preserve">NCT07513376, n=876, PCD Aug-2034</t>
  </si>
  <si>
    <t xml:space="preserve">Adjuvant RCC (INTerpath-004)</t>
  </si>
  <si>
    <t xml:space="preserve">Ph2</t>
  </si>
  <si>
    <t xml:space="preserve">NCT06307431, n=272, PCD Apr-2027</t>
  </si>
  <si>
    <t xml:space="preserve">MIBC adjuvant (INTerpath-005)</t>
  </si>
  <si>
    <t xml:space="preserve">NCT06305767, n=230, PCD Oct-2029</t>
  </si>
  <si>
    <t xml:space="preserve">NMIBC + BCG (INTerpath-011)</t>
  </si>
  <si>
    <t xml:space="preserve">NCT06833073, n=308, PCD Sep-2031</t>
  </si>
  <si>
    <t xml:space="preserve">1L advanced melanoma (INTerpath-012)</t>
  </si>
  <si>
    <t xml:space="preserve">NCT06961006, n=160, PCD Jul-2028</t>
  </si>
  <si>
    <t xml:space="preserve">1L metastatic squamous NSCLC (INTerpath-013)</t>
  </si>
  <si>
    <t xml:space="preserve">NCT07221474, n=180, PCD Jul-2029</t>
  </si>
  <si>
    <t xml:space="preserve">Other solid tumours - future INT indications (pre-Ph2)</t>
  </si>
  <si>
    <t xml:space="preserve">Ph1 / not started</t>
  </si>
  <si>
    <t xml:space="preserve">Platform read-through: Ph1 in adjuvant PDAC, perioperative gastric &amp; NSCLC (INTerpath backgrounder; NCT03313778); Merck/Moderna 'plans for continued expansion'. PoS JUDGMENT (industry Ph1-&gt;approval ~5-10% oncology, raised for validated mechanism).</t>
  </si>
  <si>
    <t xml:space="preserve">6. Other pipeline &amp; corporate</t>
  </si>
  <si>
    <t xml:space="preserve">mRNA-4359 PoS</t>
  </si>
  <si>
    <t xml:space="preserve">Wholly owned PD-L1/IDO cancer antigen therapy; Ph1b CPI-refractory melanoma ORR 24% (67% if PD-L1&gt;=1%) (10-K 2025). NCT05533697.</t>
  </si>
  <si>
    <t xml:space="preserve">mRNA-4359 peak</t>
  </si>
  <si>
    <t xml:space="preserve">mRNA-4359 launch</t>
  </si>
  <si>
    <t xml:space="preserve">mRNA-4359 mature margin</t>
  </si>
  <si>
    <t xml:space="preserve">mRNA-4359 dev cost 2027-31</t>
  </si>
  <si>
    <t xml:space="preserve">mRNA-4359 Ph3 cost (if reached)</t>
  </si>
  <si>
    <t xml:space="preserve">P(reach Ph3)</t>
  </si>
  <si>
    <t xml:space="preserve">PA (mRNA-3927) PoS</t>
  </si>
  <si>
    <t xml:space="preserve">mRNA-3927 licensed to Recordati (Jan-2026): $50M upfront received, up to $110M dev/reg milestones, sales milestones and tiered royalties (10-Q Q2-26). Registrational data expected 2026. Royalty rate &amp; peak JUDGMENT.</t>
  </si>
  <si>
    <t xml:space="preserve">PA peak sales (Recordati)</t>
  </si>
  <si>
    <t xml:space="preserve">PA launch</t>
  </si>
  <si>
    <t xml:space="preserve">PA royalty rate</t>
  </si>
  <si>
    <t xml:space="preserve">PA dev/reg milestones</t>
  </si>
  <si>
    <t xml:space="preserve">PA sales milestones</t>
  </si>
  <si>
    <t xml:space="preserve">MMA PoS</t>
  </si>
  <si>
    <t xml:space="preserve">mRNA-3705 pivotal decision deferred until PA readout (Q2-26 release)</t>
  </si>
  <si>
    <t xml:space="preserve">MMA peak</t>
  </si>
  <si>
    <t xml:space="preserve">MMA launch</t>
  </si>
  <si>
    <t xml:space="preserve">MMA margin</t>
  </si>
  <si>
    <t xml:space="preserve">MMA dev cost/yr 2027-30</t>
  </si>
  <si>
    <t xml:space="preserve">CF (VX-522) PoS</t>
  </si>
  <si>
    <t xml:space="preserve">VX-522 with Vertex, Ph1/2 MAD data 2H-26</t>
  </si>
  <si>
    <t xml:space="preserve">CF peak</t>
  </si>
  <si>
    <t xml:space="preserve">CF launch</t>
  </si>
  <si>
    <t xml:space="preserve">CF royalty</t>
  </si>
  <si>
    <t xml:space="preserve">Corporate G&amp;A 2027</t>
  </si>
  <si>
    <t xml:space="preserve">G&amp;A growth</t>
  </si>
  <si>
    <t xml:space="preserve">Unallocated R&amp;D 2027-32</t>
  </si>
  <si>
    <t xml:space="preserve">Guided R&amp;D $2.9B (2026), GAAP opex $4.2-4.6B (2027) -&gt; R&amp;D ~$2.65B 2027. Unallocated = discovery/platform ($356M 2025) + tech-dev + shared + SBC not attributable to named programs (10-K 2025 R&amp;D table: only $0.9B of $3.1B is program-specific external spend). Its full cost is charged. Offsetting credit for the pipeline it will create: early_pipeline_factor x after-tax PV of [platform share of unallocated R&amp;D 2027-32 + ALL unallocated R&amp;D from 2033 (when named programs are done)]. 1.0 = R&amp;D earns exactly its cost of capital (NPV-neutral); 0.75 base reflects Moderna's mixed recent R&amp;D productivity (CMV fail, flu 3-yr delay, noro interim miss vs mNEXSPIKE, INT success). JUDGMENT.</t>
  </si>
  <si>
    <t xml:space="preserve">Unallocated R&amp;D growth after 2032</t>
  </si>
  <si>
    <t xml:space="preserve">Platform share of unallocated R&amp;D to 2032</t>
  </si>
  <si>
    <t xml:space="preserve">Capex 2027-32</t>
  </si>
  <si>
    <t xml:space="preserve">Capex % attributable revenue after 2032</t>
  </si>
  <si>
    <t xml:space="preserve">D&amp;A 2027-32</t>
  </si>
  <si>
    <t xml:space="preserve">PP&amp;E (floor)</t>
  </si>
  <si>
    <t xml:space="preserve">PP&amp;E $2.06B (10-Q Q2-26) at 30% recovery; wind-down (severance, contract terminations, $1.4B purchase obligations) JUDGMENT</t>
  </si>
  <si>
    <t xml:space="preserve">PP&amp;E recovery</t>
  </si>
  <si>
    <t xml:space="preserve">Wind-down cost</t>
  </si>
  <si>
    <t xml:space="preserve">Asset / liquidation floor per share (formula)</t>
  </si>
  <si>
    <t xml:space="preserve">Sum-of-the-parts - Base scenario (pre-tax PV incl. pro-rata terminal value; tax shown separately)</t>
  </si>
  <si>
    <t xml:space="preserve">Component</t>
  </si>
  <si>
    <t xml:space="preserve">PV ($B)</t>
  </si>
  <si>
    <t xml:space="preserve">$ / share (on basic)</t>
  </si>
  <si>
    <t xml:space="preserve">Respiratory franchise</t>
  </si>
  <si>
    <t xml:space="preserve">COVID, flu, combo, RSV, norovirus</t>
  </si>
  <si>
    <t xml:space="preserve">Intismeran (50% share, net of dev.)</t>
  </si>
  <si>
    <t xml:space="preserve">10 indications, PoS-weighted</t>
  </si>
  <si>
    <t xml:space="preserve">mRNA-4359</t>
  </si>
  <si>
    <t xml:space="preserve">wholly owned</t>
  </si>
  <si>
    <t xml:space="preserve">Rare disease &amp; royalties</t>
  </si>
  <si>
    <t xml:space="preserve">PA (Recordati), MMA, CF</t>
  </si>
  <si>
    <t xml:space="preserve">Corporate G&amp;A</t>
  </si>
  <si>
    <t xml:space="preserve">Unallocated R&amp;D (platform/shared/SBC)</t>
  </si>
  <si>
    <t xml:space="preserve">credited below via future-pipeline line</t>
  </si>
  <si>
    <t xml:space="preserve">Cash taxes (after NOLs)</t>
  </si>
  <si>
    <t xml:space="preserve">Net capex &amp; working capital</t>
  </si>
  <si>
    <t xml:space="preserve">Q4-2026 stub cash burn</t>
  </si>
  <si>
    <t xml:space="preserve">Unidentified future pipeline (credit)</t>
  </si>
  <si>
    <t xml:space="preserve">Enterprise value (sum)</t>
  </si>
  <si>
    <t xml:space="preserve">check vs M_Base EV:</t>
  </si>
  <si>
    <t xml:space="preserve">+ Cash &amp; investments (est.)</t>
  </si>
  <si>
    <t xml:space="preserve">- Term loan</t>
  </si>
  <si>
    <t xml:space="preserve">- Convertible notes (face)</t>
  </si>
  <si>
    <t xml:space="preserve">- Finance leases</t>
  </si>
  <si>
    <t xml:space="preserve">- Arbutus contingent (expected PV)</t>
  </si>
  <si>
    <t xml:space="preserve">- Other patent litigation</t>
  </si>
  <si>
    <t xml:space="preserve">+ Pfizer/BioNTech litigation option</t>
  </si>
  <si>
    <t xml:space="preserve">Equity value (sum)</t>
  </si>
  <si>
    <t xml:space="preserve">Value per share (Base)</t>
  </si>
  <si>
    <t xml:space="preserve">M_Failure - scenario model (ESMO data weak (HR ~0.85) / FDA (CBER) requires OS -&gt; melanoma not approved; readthrough cuts other INT PoS by 60%; respiratory bear.)</t>
  </si>
  <si>
    <t xml:space="preserve">Scenario index (1=Failure..5=Blue-sky)</t>
  </si>
  <si>
    <t xml:space="preserve">Scenario levers (green = pulled from Drivers)</t>
  </si>
  <si>
    <t xml:space="preserve">INT indications: scenario-adjusted launch / peak / PoS</t>
  </si>
  <si>
    <t xml:space="preserve">Peak</t>
  </si>
  <si>
    <t xml:space="preserve">Year</t>
  </si>
  <si>
    <t xml:space="preserve">unit</t>
  </si>
  <si>
    <t xml:space="preserve">Year index i</t>
  </si>
  <si>
    <t xml:space="preserve">RESPIRATORY FRANCHISE</t>
  </si>
  <si>
    <t xml:space="preserve">COVID (Spikevax, mNEXSPIKE, partnerships)</t>
  </si>
  <si>
    <t xml:space="preserve">$B</t>
  </si>
  <si>
    <t xml:space="preserve">Flu (mFLUSIVA)</t>
  </si>
  <si>
    <t xml:space="preserve">Flu+COVID combo (mCOMBRIAX)</t>
  </si>
  <si>
    <t xml:space="preserve">RSV (mRESVIA)</t>
  </si>
  <si>
    <t xml:space="preserve">Norovirus (risk-adjusted)</t>
  </si>
  <si>
    <t xml:space="preserve">Other revenue</t>
  </si>
  <si>
    <t xml:space="preserve">Respiratory revenue</t>
  </si>
  <si>
    <t xml:space="preserve">Gross margin</t>
  </si>
  <si>
    <t xml:space="preserve">%</t>
  </si>
  <si>
    <t xml:space="preserve">Flu + combo revenue</t>
  </si>
  <si>
    <t xml:space="preserve">Blackstone sales milestones paid</t>
  </si>
  <si>
    <t xml:space="preserve">Blackstone milestones cumulative</t>
  </si>
  <si>
    <t xml:space="preserve">Blackstone royalty + milestones</t>
  </si>
  <si>
    <t xml:space="preserve">Respiratory S&amp;M</t>
  </si>
  <si>
    <t xml:space="preserve">Respiratory R&amp;D</t>
  </si>
  <si>
    <t xml:space="preserve">Respiratory contribution</t>
  </si>
  <si>
    <t xml:space="preserve">INTISMERAN (risk-adjusted global sales; Moderna books 50% of profit pool)</t>
  </si>
  <si>
    <t xml:space="preserve">  Adjuvant melanoma IIB-IV (INTerpath-001)</t>
  </si>
  <si>
    <t xml:space="preserve">  Adjuvant NSCLC II-IIIB (INTerpath-002)</t>
  </si>
  <si>
    <t xml:space="preserve">  Post-neoadjuvant non-pCR NSCLC (INTerpath-009)</t>
  </si>
  <si>
    <t xml:space="preserve">  Resected stage I NSCLC (INTerpath-014)</t>
  </si>
  <si>
    <t xml:space="preserve">  Adjuvant RCC (INTerpath-004)</t>
  </si>
  <si>
    <t xml:space="preserve">  MIBC adjuvant (INTerpath-005)</t>
  </si>
  <si>
    <t xml:space="preserve">  NMIBC + BCG (INTerpath-011)</t>
  </si>
  <si>
    <t xml:space="preserve">  1L advanced melanoma (INTerpath-012)</t>
  </si>
  <si>
    <t xml:space="preserve">  1L metastatic squamous NSCLC (INTerpath-013)</t>
  </si>
  <si>
    <t xml:space="preserve">  Other solid tumours - future INT indications (pr</t>
  </si>
  <si>
    <t xml:space="preserve">INT global sales (risk-adjusted)</t>
  </si>
  <si>
    <t xml:space="preserve">Profit-pool margin</t>
  </si>
  <si>
    <t xml:space="preserve">Moderna 50% share of profit pool</t>
  </si>
  <si>
    <t xml:space="preserve">Moderna share of INT development</t>
  </si>
  <si>
    <t xml:space="preserve">INT contribution</t>
  </si>
  <si>
    <t xml:space="preserve">OTHER PIPELINE</t>
  </si>
  <si>
    <t xml:space="preserve">mRNA-4359 sales (risk-adjusted)</t>
  </si>
  <si>
    <t xml:space="preserve">mRNA-4359 development</t>
  </si>
  <si>
    <t xml:space="preserve">mRNA-4359 contribution</t>
  </si>
  <si>
    <t xml:space="preserve">PA sales (Recordati, risk-adjusted)</t>
  </si>
  <si>
    <t xml:space="preserve">MMA sales (risk-adjusted)</t>
  </si>
  <si>
    <t xml:space="preserve">CF royalty (risk-adjusted)</t>
  </si>
  <si>
    <t xml:space="preserve">Rare disease &amp; royalties contribution</t>
  </si>
  <si>
    <t xml:space="preserve">CORPORATE, TAX &amp; FREE CASH FLOW</t>
  </si>
  <si>
    <t xml:space="preserve">Unallocated R&amp;D (before scenario multiplier)</t>
  </si>
  <si>
    <t xml:space="preserve">Unallocated R&amp;D</t>
  </si>
  <si>
    <t xml:space="preserve">Attributable revenue (resp + 50% INT + other)</t>
  </si>
  <si>
    <t xml:space="preserve">Capex</t>
  </si>
  <si>
    <t xml:space="preserve">D&amp;A</t>
  </si>
  <si>
    <t xml:space="preserve">Increase in working capital</t>
  </si>
  <si>
    <t xml:space="preserve">EBIT</t>
  </si>
  <si>
    <t xml:space="preserve">NOL pool - opening</t>
  </si>
  <si>
    <t xml:space="preserve">NOL used</t>
  </si>
  <si>
    <t xml:space="preserve">Cash taxes</t>
  </si>
  <si>
    <t xml:space="preserve">NOL pool - closing</t>
  </si>
  <si>
    <t xml:space="preserve">Free cash flow to firm</t>
  </si>
  <si>
    <t xml:space="preserve">Discount period (mid-year, from 9/30/26)</t>
  </si>
  <si>
    <t xml:space="preserve">yrs</t>
  </si>
  <si>
    <t xml:space="preserve">Discount factor</t>
  </si>
  <si>
    <t xml:space="preserve">x</t>
  </si>
  <si>
    <t xml:space="preserve">PV of FCFF</t>
  </si>
  <si>
    <t xml:space="preserve">R&amp;D creating future pipeline (credit base)</t>
  </si>
  <si>
    <t xml:space="preserve">VALUATION</t>
  </si>
  <si>
    <t xml:space="preserve">PV of Q4-2026 stub FCF</t>
  </si>
  <si>
    <t xml:space="preserve">PV of FCFF 2027-2045</t>
  </si>
  <si>
    <t xml:space="preserve">Terminal value at end-2045</t>
  </si>
  <si>
    <t xml:space="preserve">PV of terminal value</t>
  </si>
  <si>
    <t xml:space="preserve">PV of pipeline-creating R&amp;D (incl. terminal)</t>
  </si>
  <si>
    <t xml:space="preserve">Enterprise value</t>
  </si>
  <si>
    <t xml:space="preserve">Terminal value share of EV</t>
  </si>
  <si>
    <t xml:space="preserve">Arbutus contingent (expected, PV)</t>
  </si>
  <si>
    <t xml:space="preserve">Debt &amp; debt-like items</t>
  </si>
  <si>
    <t xml:space="preserve">Equity value</t>
  </si>
  <si>
    <t xml:space="preserve">Value per share before floor ($)</t>
  </si>
  <si>
    <t xml:space="preserve">Value per share ($, floored at liquidation value)</t>
  </si>
  <si>
    <t xml:space="preserve">Diluted shares at that value (m)</t>
  </si>
  <si>
    <t xml:space="preserve">Upside / (downside) vs market price</t>
  </si>
  <si>
    <t xml:space="preserve">M_Bear - scenario model (Melanoma approved 2028 with modest HR (~0.75), price ~$200k US; NSCLC PoS cut; COVID erodes faster; flu/combo half of base.)</t>
  </si>
  <si>
    <t xml:space="preserve">M_Base - scenario model (Assumptions as listed: melanoma launch 2027, US net ~$300k, $2.8B global peak; other indications at stated PoS; respiratory bottom-up.)</t>
  </si>
  <si>
    <t xml:space="preserve">M_Bull - scenario model (Strong ESMO HR (~0.55) with OS trend; US net ~$420k (William Blair models $475k WAC); melanoma peak $5B; other INT PoS x1.33 incl. future tumours; respiratory ~$5-6B (mgmt path).)</t>
  </si>
  <si>
    <t xml:space="preserve">M_BlueSky - scenario model (Ceiling test, NOT weighted: every INT indication succeeds (PoS=100%), peaks x1.5, US net ~$475k (William Blair WAC), 62% margin, respiratory bull, WACC 8.0%, g=2%, R&amp;D fully value-creating.)</t>
  </si>
  <si>
    <t xml:space="preserve">Normalized 5-year history ($ millions; margins as %)</t>
  </si>
  <si>
    <t xml:space="preserve">Source: SEC XBRL companyfacts (data/xbrl_annual.csv, xbrl_quarterly.csv) via scripts/xbrl_financials.py + diagnostics.py. EBIT_norm adds back the $882m Arbutus settlement charge (TTM). Write-downs recurred 2022-25 and are NOT added back.</t>
  </si>
  <si>
    <t xml:space="preserve">line item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</si>
  <si>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</si>
  <si>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</si>
  <si>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</si>
  <si>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</si>
  <si>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</si>
  <si>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TTM Q2-26</t>
  </si>
  <si>
    <t xml:space="preserve">Revenue</t>
  </si>
  <si>
    <t xml:space="preserve">COGS</t>
  </si>
  <si>
    <t xml:space="preserve">RnD</t>
  </si>
  <si>
    <t xml:space="preserve">SGA</t>
  </si>
  <si>
    <t xml:space="preserve">SBC</t>
  </si>
  <si>
    <t xml:space="preserve">DandA</t>
  </si>
  <si>
    <t xml:space="preserve">WriteDowns</t>
  </si>
  <si>
    <t xml:space="preserve">InterestIncome</t>
  </si>
  <si>
    <t xml:space="preserve">NetIncome</t>
  </si>
  <si>
    <t xml:space="preserve">CFO</t>
  </si>
  <si>
    <t xml:space="preserve">TaxesPaid</t>
  </si>
  <si>
    <t xml:space="preserve">Cash</t>
  </si>
  <si>
    <t xml:space="preserve">Investments</t>
  </si>
  <si>
    <t xml:space="preserve">TotalAssets</t>
  </si>
  <si>
    <t xml:space="preserve">CurrentLiab</t>
  </si>
  <si>
    <t xml:space="preserve">Equity</t>
  </si>
  <si>
    <t xml:space="preserve">Receivables</t>
  </si>
  <si>
    <t xml:space="preserve">Inventory</t>
  </si>
  <si>
    <t xml:space="preserve">DeferredRev</t>
  </si>
  <si>
    <t xml:space="preserve">Debt</t>
  </si>
  <si>
    <t xml:space="preserve">DilutedShares</t>
  </si>
  <si>
    <t xml:space="preserve">SharesOut</t>
  </si>
  <si>
    <t xml:space="preserve">Buybacks</t>
  </si>
  <si>
    <t xml:space="preserve">SettlementCharge</t>
  </si>
  <si>
    <t xml:space="preserve">EBIT_norm</t>
  </si>
  <si>
    <t xml:space="preserve">EBITDA_norm</t>
  </si>
  <si>
    <t xml:space="preserve">GrossMargin</t>
  </si>
  <si>
    <t xml:space="preserve">GrossMargin_exWD</t>
  </si>
  <si>
    <t xml:space="preserve">EBIT_margin_norm</t>
  </si>
  <si>
    <t xml:space="preserve">RnD_pct</t>
  </si>
  <si>
    <t xml:space="preserve">NOPAT</t>
  </si>
  <si>
    <t xml:space="preserve">InvestedCapital</t>
  </si>
  <si>
    <t xml:space="preserve">ROIC</t>
  </si>
  <si>
    <t xml:space="preserve">FCF</t>
  </si>
  <si>
    <t xml:space="preserve">FCF_after_SBC</t>
  </si>
  <si>
    <t xml:space="preserve">NetCash</t>
  </si>
  <si>
    <t xml:space="preserve">Net income -&gt; CFO -&gt; FCF bridge ($ millions)</t>
  </si>
  <si>
    <t xml:space="preserve">Source: data/cash_bridge.csv</t>
  </si>
  <si>
    <t xml:space="preserve">line</t>
  </si>
  <si>
    <t xml:space="preserve">WriteDowns(non-cash)</t>
  </si>
  <si>
    <t xml:space="preserve">WorkingCapital&amp;Other</t>
  </si>
  <si>
    <t xml:space="preserve">Guidance history (resolved and retired) - realization record</t>
  </si>
  <si>
    <t xml:space="preserve">Source: 8-K EX-99.1 press releases 2022-2026 (filings/8-K). Retired targets are counted as misses. Scores: data/guidance_scores.json</t>
  </si>
  <si>
    <t xml:space="preserve">id</t>
  </si>
  <si>
    <t xml:space="preserve">metric</t>
  </si>
  <si>
    <t xml:space="preserve">category</t>
  </si>
  <si>
    <t xml:space="preserve">period</t>
  </si>
  <si>
    <t xml:space="preserve">issued</t>
  </si>
  <si>
    <t xml:space="preserve">source</t>
  </si>
  <si>
    <t xml:space="preserve">guide_low</t>
  </si>
  <si>
    <t xml:space="preserve">guide_high</t>
  </si>
  <si>
    <t xml:space="preserve">base_actual</t>
  </si>
  <si>
    <t xml:space="preserve">actual</t>
  </si>
  <si>
    <t xml:space="preserve">status</t>
  </si>
  <si>
    <t xml:space="preserve">horizon_months</t>
  </si>
  <si>
    <t xml:space="preserve">note</t>
  </si>
  <si>
    <t xml:space="preserve">G01</t>
  </si>
  <si>
    <t xml:space="preserve">Product sales 2022 ($B)</t>
  </si>
  <si>
    <t xml:space="preserve">revenue</t>
  </si>
  <si>
    <t xml:space="preserve">FY2022</t>
  </si>
  <si>
    <t xml:space="preserve">2022-01-10</t>
  </si>
  <si>
    <t xml:space="preserve">8-K 2022-01-10 EX-99.1 (JPM)</t>
  </si>
  <si>
    <t xml:space="preserve">resolved</t>
  </si>
  <si>
    <t xml:space="preserve">APAs ~$18.5B signed at JPM; raised to ~$21B May-22; cut to $18-19B Nov-22</t>
  </si>
  <si>
    <t xml:space="preserve">G02</t>
  </si>
  <si>
    <t xml:space="preserve">2022-05-04</t>
  </si>
  <si>
    <t xml:space="preserve">8-K 2022-05-04 EX-99.1 (Q1-22)</t>
  </si>
  <si>
    <t xml:space="preserve">Peak guide; deliveries slipped into 2023</t>
  </si>
  <si>
    <t xml:space="preserve">G03</t>
  </si>
  <si>
    <t xml:space="preserve">Product sales 2023 ($B)</t>
  </si>
  <si>
    <t xml:space="preserve">FY2023</t>
  </si>
  <si>
    <t xml:space="preserve">2023-01-09</t>
  </si>
  <si>
    <t xml:space="preserve">8-K 2023-01-09 EX-99.1 (JPM)</t>
  </si>
  <si>
    <t xml:space="preserve">'minimum ~$5B' from signed APAs (floor, not a point)</t>
  </si>
  <si>
    <t xml:space="preserve">G04</t>
  </si>
  <si>
    <t xml:space="preserve">2023-08-03</t>
  </si>
  <si>
    <t xml:space="preserve">8-K 2023-08-03 EX-99.1 (Q2-23)</t>
  </si>
  <si>
    <t xml:space="preserve">G05</t>
  </si>
  <si>
    <t xml:space="preserve">Product sales 2024 ($B)</t>
  </si>
  <si>
    <t xml:space="preserve">FY2024</t>
  </si>
  <si>
    <t xml:space="preserve">2023-11-02</t>
  </si>
  <si>
    <t xml:space="preserve">8-K 2023-11-02 EX-99.1 (Q3-23)</t>
  </si>
  <si>
    <t xml:space="preserve">~$4B; reaffirmed Jan/Feb/May-24; cut to $3.0-3.5B Aug-24</t>
  </si>
  <si>
    <t xml:space="preserve">G06</t>
  </si>
  <si>
    <t xml:space="preserve">2024-08-01</t>
  </si>
  <si>
    <t xml:space="preserve">8-K 2024-08-01 EX-99.1 (Q2-24)</t>
  </si>
  <si>
    <t xml:space="preserve">G07</t>
  </si>
  <si>
    <t xml:space="preserve">Revenue 2025 ($B)</t>
  </si>
  <si>
    <t xml:space="preserve">FY2025</t>
  </si>
  <si>
    <t xml:space="preserve">2024-09-12</t>
  </si>
  <si>
    <t xml:space="preserve">8-K 2024-09-12 EX-99.1 (R&amp;D Day)</t>
  </si>
  <si>
    <t xml:space="preserve">G08</t>
  </si>
  <si>
    <t xml:space="preserve">2025-01-13</t>
  </si>
  <si>
    <t xml:space="preserve">8-K 2025-01-13 EX-99.1 (JPM)</t>
  </si>
  <si>
    <t xml:space="preserve">G09</t>
  </si>
  <si>
    <t xml:space="preserve">2025-08-01</t>
  </si>
  <si>
    <t xml:space="preserve">8-K 2025-08-01 EX-99.1 (Q2-25)</t>
  </si>
  <si>
    <t xml:space="preserve">G10</t>
  </si>
  <si>
    <t xml:space="preserve">Revenue CAGR 2026-2028 (&gt;25%)</t>
  </si>
  <si>
    <t xml:space="preserve">FY2026-28</t>
  </si>
  <si>
    <t xml:space="preserve">retired</t>
  </si>
  <si>
    <t xml:space="preserve">Replaced Nov-25 by 'up to 10% growth in 2026'; counted as a miss</t>
  </si>
  <si>
    <t xml:space="preserve">G11</t>
  </si>
  <si>
    <t xml:space="preserve">Operating cash breakeven 2026</t>
  </si>
  <si>
    <t xml:space="preserve">profitability</t>
  </si>
  <si>
    <t xml:space="preserve">FY2026</t>
  </si>
  <si>
    <t xml:space="preserve">2024-01-08</t>
  </si>
  <si>
    <t xml:space="preserve">8-K 2024-01-08 EX-99.1 (JPM)</t>
  </si>
  <si>
    <t xml:space="preserve">Moved to 2028 at Sep-24 R&amp;D Day; counted as a miss</t>
  </si>
  <si>
    <t xml:space="preserve">G12</t>
  </si>
  <si>
    <t xml:space="preserve">R&amp;D expense 2025 ($B) [cost]</t>
  </si>
  <si>
    <t xml:space="preserve">cost</t>
  </si>
  <si>
    <t xml:space="preserve">Lower is better</t>
  </si>
  <si>
    <t xml:space="preserve">G13</t>
  </si>
  <si>
    <t xml:space="preserve">GAAP opex 2025 ($B) [cost]</t>
  </si>
  <si>
    <t xml:space="preserve">G14</t>
  </si>
  <si>
    <t xml:space="preserve">Year-end cash 2025 ($B)</t>
  </si>
  <si>
    <t xml:space="preserve">cash</t>
  </si>
  <si>
    <t xml:space="preserve">Actual $8.135B incl. $0.6B loan draw -&gt; $7.535B like-for-like</t>
  </si>
  <si>
    <t xml:space="preserve">G15</t>
  </si>
  <si>
    <t xml:space="preserve">Year-end cash 2024 ($B)</t>
  </si>
  <si>
    <t xml:space="preserve">2024-11-07</t>
  </si>
  <si>
    <t xml:space="preserve">8-K 2024-11-07 EX-99.1 (Q3-24)</t>
  </si>
  <si>
    <t xml:space="preserve">G16</t>
  </si>
  <si>
    <t xml:space="preserve">R&amp;D expense 2024 ($B) [cost]</t>
  </si>
  <si>
    <t xml:space="preserve">2024-02-22</t>
  </si>
  <si>
    <t xml:space="preserve">8-K 2024-02-22 EX-99.1 (Q4-23)</t>
  </si>
  <si>
    <t xml:space="preserve">Raised to ~$4.8B Sep-24 incl. PRV purchase</t>
  </si>
  <si>
    <t xml:space="preserve">G17</t>
  </si>
  <si>
    <t xml:space="preserve">Flu vaccine accelerated approval in 2023</t>
  </si>
  <si>
    <t xml:space="preserve">pipeline</t>
  </si>
  <si>
    <t xml:space="preserve">2023-01-03</t>
  </si>
  <si>
    <t xml:space="preserve">8-K 2023-01-03 EX-99.1 (shareholder letter)</t>
  </si>
  <si>
    <t xml:space="preserve">Approved Aug 5 2026 (US) -&gt; 31 months late; miss</t>
  </si>
  <si>
    <t xml:space="preserve">G18</t>
  </si>
  <si>
    <t xml:space="preserve">CMV vaccine launch readiness</t>
  </si>
  <si>
    <t xml:space="preserve">Phase 3 failed Oct-25; miss</t>
  </si>
  <si>
    <t xml:space="preserve">G19</t>
  </si>
  <si>
    <t xml:space="preserve">Next-gen COVID mRNA-1283 approval</t>
  </si>
  <si>
    <t xml:space="preserve">Approved May-25 (mNEXSPIKE); hit</t>
  </si>
  <si>
    <t xml:space="preserve">G20</t>
  </si>
  <si>
    <t xml:space="preserve">Flu+COVID mRNA-1083 filing 2024 / approval</t>
  </si>
  <si>
    <t xml:space="preserve">Filed Nov-24; US withdrawn/awaiting FDA; EU approved Apr-26; half credit</t>
  </si>
  <si>
    <t xml:space="preserve">G21</t>
  </si>
  <si>
    <t xml:space="preserve">RSV 18-59 high-risk sBLA 2024 -&gt; approval</t>
  </si>
  <si>
    <t xml:space="preserve">Approved Jun-25; hit</t>
  </si>
  <si>
    <t xml:space="preserve">G22</t>
  </si>
  <si>
    <t xml:space="preserve">Intismeran Ph3 melanoma data 2026</t>
  </si>
  <si>
    <t xml:space="preserve">2025-11-20</t>
  </si>
  <si>
    <t xml:space="preserve">8-K 2025-11-20 EX-99.1 (Analyst Day)</t>
  </si>
  <si>
    <t xml:space="preserve">Positive topline Aug 19 2026; hit</t>
  </si>
  <si>
    <t xml:space="preserve">G23</t>
  </si>
  <si>
    <t xml:space="preserve">Norovirus Ph3 interim 2026</t>
  </si>
  <si>
    <t xml:space="preserve">Interim did not meet early-success criteria Jul-26; extra cohort; miss</t>
  </si>
  <si>
    <t xml:space="preserve">Category</t>
  </si>
  <si>
    <t xml:space="preserve">n</t>
  </si>
  <si>
    <t xml:space="preserve">hit rate</t>
  </si>
  <si>
    <t xml:space="preserve">dispersion</t>
  </si>
  <si>
    <t xml:space="preserve">mean level error</t>
  </si>
  <si>
    <t xml:space="preserve">conf. 1y</t>
  </si>
  <si>
    <t xml:space="preserve">conf. 2y</t>
  </si>
  <si>
    <t xml:space="preserve">conf. 3y</t>
  </si>
  <si>
    <t xml:space="preserve">Peer multiples ($B) - SEC XBRL companyfacts + Nasdaq quotes 2026-09-28</t>
  </si>
  <si>
    <t xml:space="preserve">Regression ln(EV/Sales) = 1.389 + 1.174*CAGR3y + 0.233*OpMargin; R2=0.62, n=13 (revenue &gt;= $1B). IFRS filers: latest fiscal year; FX EUR 1.1378, GBP 1.3263 USD (ECB 2026-09-28).</t>
  </si>
  <si>
    <t xml:space="preserve">ticker</t>
  </si>
  <si>
    <t xml:space="preserve">basis</t>
  </si>
  <si>
    <t xml:space="preserve">period_end</t>
  </si>
  <si>
    <t xml:space="preserve">revenue_ttm</t>
  </si>
  <si>
    <t xml:space="preserve">op_margin</t>
  </si>
  <si>
    <t xml:space="preserve">rev_cagr_3y</t>
  </si>
  <si>
    <t xml:space="preserve">cash_inv</t>
  </si>
  <si>
    <t xml:space="preserve">debt</t>
  </si>
  <si>
    <t xml:space="preserve">mcap</t>
  </si>
  <si>
    <t xml:space="preserve">ev</t>
  </si>
  <si>
    <t xml:space="preserve">ev_sales</t>
  </si>
  <si>
    <t xml:space="preserve">pe</t>
  </si>
  <si>
    <t xml:space="preserve">ALNY</t>
  </si>
  <si>
    <t xml:space="preserve">us-gaap</t>
  </si>
  <si>
    <t xml:space="preserve">2025-12-31</t>
  </si>
  <si>
    <t xml:space="preserve">ARGX</t>
  </si>
  <si>
    <t xml:space="preserve">ifrs-full</t>
  </si>
  <si>
    <t xml:space="preserve">AZN</t>
  </si>
  <si>
    <t xml:space="preserve">BMRN</t>
  </si>
  <si>
    <t xml:space="preserve">BNTX</t>
  </si>
  <si>
    <t xml:space="preserve">CRSP</t>
  </si>
  <si>
    <t xml:space="preserve">EXEL</t>
  </si>
  <si>
    <t xml:space="preserve">2026-01-02</t>
  </si>
  <si>
    <t xml:space="preserve">GSK</t>
  </si>
  <si>
    <t xml:space="preserve">IMCR</t>
  </si>
  <si>
    <t xml:space="preserve">INCY</t>
  </si>
  <si>
    <t xml:space="preserve">INSM</t>
  </si>
  <si>
    <t xml:space="preserve">IONS</t>
  </si>
  <si>
    <t xml:space="preserve">MRK</t>
  </si>
  <si>
    <t xml:space="preserve">2026-06-30</t>
  </si>
  <si>
    <t xml:space="preserve">NVAX</t>
  </si>
  <si>
    <t xml:space="preserve">PFE</t>
  </si>
  <si>
    <t xml:space="preserve">REGN</t>
  </si>
  <si>
    <t xml:space="preserve">SNY</t>
  </si>
  <si>
    <t xml:space="preserve">VRTX</t>
  </si>
  <si>
    <t xml:space="preserve">Monte Carlo (engine output; 20,000 draws, seed fixed) - values pasted from data/valuation_results.json</t>
  </si>
  <si>
    <t xml:space="preserve">Value</t>
  </si>
  <si>
    <t xml:space="preserve">std</t>
  </si>
  <si>
    <t xml:space="preserve">prob_above_price</t>
  </si>
  <si>
    <t xml:space="preserve">n_above_price</t>
  </si>
  <si>
    <t xml:space="preserve">melanoma_success_rate</t>
  </si>
  <si>
    <t xml:space="preserve">mean_given_melanoma_success</t>
  </si>
  <si>
    <t xml:space="preserve">mean_given_melanoma_failure</t>
  </si>
  <si>
    <t xml:space="preserve">p_nsclc_002_success</t>
  </si>
  <si>
    <t xml:space="preserve">floor_binding_share</t>
  </si>
  <si>
    <t xml:space="preserve">max</t>
  </si>
  <si>
    <t xml:space="preserve">Driver</t>
  </si>
  <si>
    <t xml:space="preserve">Spearman rank corr. with value</t>
  </si>
  <si>
    <t xml:space="preserve">Adj. NSCLC (002) success</t>
  </si>
  <si>
    <t xml:space="preserve">Melanoma peak multiplier</t>
  </si>
  <si>
    <t xml:space="preserve">Stage I NSCLC (014) success</t>
  </si>
  <si>
    <t xml:space="preserve">Combo peak</t>
  </si>
  <si>
    <t xml:space="preserve">Melanoma approval</t>
  </si>
  <si>
    <t xml:space="preserve">COVID level</t>
  </si>
  <si>
    <t xml:space="preserve">Norovirus success</t>
  </si>
  <si>
    <t xml:space="preserve">INT price factor</t>
  </si>
  <si>
    <t xml:space="preserve">Flu peak</t>
  </si>
  <si>
    <t xml:space="preserve">Early pipeline factor</t>
  </si>
  <si>
    <t xml:space="preserve">INT mature margin</t>
  </si>
  <si>
    <t xml:space="preserve">R&amp;D multiplier</t>
  </si>
  <si>
    <t xml:space="preserve">Arbutus outcome</t>
  </si>
  <si>
    <t xml:space="preserve">Other litigation</t>
  </si>
  <si>
    <t xml:space="preserve">Bin from ($)</t>
  </si>
  <si>
    <t xml:space="preserve">Bin to ($)</t>
  </si>
  <si>
    <t xml:space="preserve">Share of draws</t>
  </si>
  <si>
    <t xml:space="preserve">&gt;= $130</t>
  </si>
  <si>
    <t xml:space="preserve">Base-case sensitivity (engine output): value/share at low and high setting of each driver</t>
  </si>
  <si>
    <t xml:space="preserve">Swing</t>
  </si>
  <si>
    <t xml:space="preserve">Flu &amp; combo peaks 0.5x / 1.6x</t>
  </si>
  <si>
    <t xml:space="preserve">Early-pipeline factor 0 / 1</t>
  </si>
  <si>
    <t xml:space="preserve">INT price factor 0.7x / 1.3x</t>
  </si>
  <si>
    <t xml:space="preserve">WACC 12.0% / 9.0%</t>
  </si>
  <si>
    <t xml:space="preserve">Melanoma peak $1.5B / $5.0B</t>
  </si>
  <si>
    <t xml:space="preserve">Respiratory gross margin -5pt / +5pt</t>
  </si>
  <si>
    <t xml:space="preserve">COVID revenue -25% / +15%</t>
  </si>
  <si>
    <t xml:space="preserve">INT mature margin 45% / 62%</t>
  </si>
  <si>
    <t xml:space="preserve">Adj. NSCLC PoS 25% / 65%</t>
  </si>
  <si>
    <t xml:space="preserve">Unallocated R&amp;D +15% / -15%</t>
  </si>
  <si>
    <t xml:space="preserve">Terminal growth -2% / +2%</t>
  </si>
  <si>
    <t xml:space="preserve">Arbutus: pay $1.3B / pay 0</t>
  </si>
  <si>
    <t xml:space="preserve">Melanoma PoS 70% / 95%</t>
  </si>
  <si>
    <t xml:space="preserve">NOL pool $6B / $16B</t>
  </si>
  <si>
    <t xml:space="preserve">Primary sources (all retrieved 2026-09-28 unless noted)</t>
  </si>
  <si>
    <t xml:space="preserve">Source</t>
  </si>
  <si>
    <t xml:space="preserve">URL</t>
  </si>
  <si>
    <t xml:space="preserve">Used for / local copy</t>
  </si>
  <si>
    <t xml:space="preserve">SEC EDGAR submissions &amp; filings</t>
  </si>
  <si>
    <t xml:space="preserve">https://www.sec.gov/cgi-bin/browse-edgar?action=getcompany&amp;CIK=1682852</t>
  </si>
  <si>
    <t xml:space="preserve">10-K FY2018-FY2025, 10-Q through Q2-2026, 116 8-Ks, DEF 14A 2019-2026, S-1/424B4, S-3ASR, SC TO-I, Form 4 (186 filings since 2024). Index: data/document_index*.json</t>
  </si>
  <si>
    <t xml:space="preserve">SEC XBRL companyfacts</t>
  </si>
  <si>
    <t xml:space="preserve">https://data.sec.gov/api/xbrl/companyfacts/CIK0001682852.json</t>
  </si>
  <si>
    <t xml:space="preserve">data/companyfacts.json</t>
  </si>
  <si>
    <t xml:space="preserve">10-K FY2025 (filed 2026-02-20)</t>
  </si>
  <si>
    <t xml:space="preserve">https://www.sec.gov/Archives/edgar/data/1682852/000168285226000033/mrna-20251231.htm</t>
  </si>
  <si>
    <t xml:space="preserve">Business, pipeline, IP, legal, R&amp;D by area, NOLs, options</t>
  </si>
  <si>
    <t xml:space="preserve">10-Q Q2-2026 (filed 2026-07-31)</t>
  </si>
  <si>
    <t xml:space="preserve">https://www.sec.gov/Archives/edgar/data/1682852/000168285226000150/mrna-20260630.htm</t>
  </si>
  <si>
    <t xml:space="preserve">Credit agreement, Arbutus settlement, Merck/Recordati/Blackstone notes, 10b5-1 plans</t>
  </si>
  <si>
    <t xml:space="preserve">8-K 2026-07-31 Q2 results &amp; 2026 framework</t>
  </si>
  <si>
    <t xml:space="preserve">https://www.sec.gov/Archives/edgar/data/1682852/000168285226000147/exhibit9912026q2pressrelea.htm</t>
  </si>
  <si>
    <t xml:space="preserve">Guidance: up to 10% revenue growth; YE cash $4.7-5.2B</t>
  </si>
  <si>
    <t xml:space="preserve">8-K 2026-03-05 Arbutus/Genevant settlement</t>
  </si>
  <si>
    <t xml:space="preserve">https://www.sec.gov/Archives/edgar/data/1682852/000168285226000047/mrna-20260303.htm</t>
  </si>
  <si>
    <t xml:space="preserve">$950M + up to $1.3B contingent</t>
  </si>
  <si>
    <t xml:space="preserve">8-K 2026-09-01 convertible notes</t>
  </si>
  <si>
    <t xml:space="preserve">https://www.sec.gov/Archives/edgar/data/1682852/000119312526378505/d108896d8k.htm</t>
  </si>
  <si>
    <t xml:space="preserve">$3.0B 0% due 2032, conv. $210.58, cap $392.62</t>
  </si>
  <si>
    <t xml:space="preserve">8-K 2025-11-24 Ares credit agreement</t>
  </si>
  <si>
    <t xml:space="preserve">https://www.sec.gov/Archives/edgar/data/1682852/000162828025053816/mrna-20251119.htm</t>
  </si>
  <si>
    <t xml:space="preserve">$1.5B term loan facility</t>
  </si>
  <si>
    <t xml:space="preserve">Merck/Moderna INTerpath-001 press release 2026-08-19</t>
  </si>
  <si>
    <t xml:space="preserve">https://news.modernatx.com/merck-and-moderna-announce-phase-3-interpath-001-trial-of-intismeran-plus-keytruda-met-endpoints-of-rfs-and-dmfs-in-melanoma</t>
  </si>
  <si>
    <t xml:space="preserve">presentations/pr_2026-08-19_interpath001.txt</t>
  </si>
  <si>
    <t xml:space="preserve">Merck INTerpath program backgrounder (Aug-2026)</t>
  </si>
  <si>
    <t xml:space="preserve">https://www.merck.com/wp-content/uploads/sites/124/2026/08/Merck-Moderna_INTerpath_Clinical-Program-Backgrounder.pdf</t>
  </si>
  <si>
    <t xml:space="preserve">presentations/merck_moderna_INTerpath_backgrounder_2026-08.pdf</t>
  </si>
  <si>
    <t xml:space="preserve">FDA CBER: MFLUSIVA BLA 125869 (approved 2026-08-05) SBRA</t>
  </si>
  <si>
    <t xml:space="preserve">https://www.fda.gov/vaccines-blood-biologics/vaccines/mflusiva</t>
  </si>
  <si>
    <t xml:space="preserve">fda/mflusiva/ ; rVE 26.6% (95% CI 16.7-35.4)</t>
  </si>
  <si>
    <t xml:space="preserve">FDA CBER: MRESVIA BLA 125796, SPIKEVAX, MNEXSPIKE pages &amp; letters</t>
  </si>
  <si>
    <t xml:space="preserve">https://www.fda.gov/vaccines-blood-biologics/vaccines/mresvia</t>
  </si>
  <si>
    <t xml:space="preserve">fda/ (data/fda_documents.json)</t>
  </si>
  <si>
    <t xml:space="preserve">ClinicalTrials.gov API v2 (143 Moderna/INT studies)</t>
  </si>
  <si>
    <t xml:space="preserve">https://clinicaltrials.gov/api/v2/studies?query.spons=ModernaTX</t>
  </si>
  <si>
    <t xml:space="preserve">data/trials/ctgov_moderna.csv</t>
  </si>
  <si>
    <t xml:space="preserve">Nasdaq quotes &amp; price history</t>
  </si>
  <si>
    <t xml:space="preserve">https://api.nasdaq.com/api/quote/MRNA/info?assetclass=stocks</t>
  </si>
  <si>
    <t xml:space="preserve">data/mrna_price_daily.csv, data/peer_quotes_2026-09-28.json</t>
  </si>
  <si>
    <t xml:space="preserve">US Treasury daily par yield curve</t>
  </si>
  <si>
    <t xml:space="preserve">https://home.treasury.gov/resource-center/data-chart-center/interest-rates</t>
  </si>
  <si>
    <t xml:space="preserve">data/ust_yields_2026.csv (10y 5.17% on 2026-09-25)</t>
  </si>
  <si>
    <t xml:space="preserve">JUVE Patent: EPO revokes EP 3 590 949 (Sep-2026)</t>
  </si>
  <si>
    <t xml:space="preserve">https://www.juve-patent.com/people-and-business/epo-revokes-key-moderna-patent-for-mrna-vaccines/</t>
  </si>
  <si>
    <t xml:space="preserve">Pfizer/BioNTech litigation upside</t>
  </si>
  <si>
    <t xml:space="preserve">BioPharma Dive (2026-08) analyst reactions</t>
  </si>
  <si>
    <t xml:space="preserve">https://www.biopharmadive.com/news/moderna-merck-intismeran-melanoma-vaccine-stock-reaction/828332/</t>
  </si>
  <si>
    <t xml:space="preserve">William Blair $5.4B melanoma; Evercore caution</t>
  </si>
  <si>
    <t xml:space="preserve">BigGo Finance summary of William Blair pricing</t>
  </si>
  <si>
    <t xml:space="preserve">https://finance.biggo.com/news/74730371-5f44-47af-9ecf-df6ee565643b</t>
  </si>
  <si>
    <t xml:space="preserve">$475k US WAC assumption; Goldman $10.9B melanoma+lung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</si>
</sst>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.00;&quot;($&quot;#,##0.00\);\-"/>
    <numFmt numFmtId="166" formatCode="0.0%;\(0.0%\);\-"/>
    <numFmt numFmtId="167" formatCode="#,##0.00;\(#,##0.00\);\-"/>
    <numFmt numFmtId="168" formatCode="0.00%"/>
    <numFmt numFmtId="169" formatCode="0.000"/>
    <numFmt numFmtId="170" formatCode="#,##0.000;\(#,##0.000\);\-"/>
    <numFmt numFmtId="171" formatCode="0.0\x"/>
    <numFmt numFmtId="172" formatCode="0"/>
    <numFmt numFmtId="173" formatCode="0.0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"/>
      <name val="Arial"/>
      <family val="0"/>
      <charset val="1"/>
    </font>
    <font>
      <sz val="8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3" style="0" width="2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C4" s="4" t="n">
        <f aca="false">Drivers!$C$5</f>
        <v>199</v>
      </c>
    </row>
    <row r="5" customFormat="false" ht="15" hidden="false" customHeight="false" outlineLevel="0" collapsed="false">
      <c r="A5" s="3" t="s">
        <v>3</v>
      </c>
      <c r="C5" s="4" t="n">
        <f aca="false">Summary!C10</f>
        <v>28.7655606722215</v>
      </c>
    </row>
    <row r="6" customFormat="false" ht="15" hidden="false" customHeight="false" outlineLevel="0" collapsed="false">
      <c r="A6" s="3" t="s">
        <v>4</v>
      </c>
      <c r="C6" s="4" t="n">
        <f aca="false">Summary!F19</f>
        <v>33.0876990648536</v>
      </c>
    </row>
    <row r="7" customFormat="false" ht="15" hidden="false" customHeight="false" outlineLevel="0" collapsed="false">
      <c r="A7" s="3" t="s">
        <v>5</v>
      </c>
      <c r="C7" s="4" t="n">
        <f aca="false">Summary!C7</f>
        <v>26.4757399577457</v>
      </c>
    </row>
    <row r="8" customFormat="false" ht="15" hidden="false" customHeight="false" outlineLevel="0" collapsed="false">
      <c r="A8" s="3" t="s">
        <v>6</v>
      </c>
      <c r="C8" s="4" t="n">
        <f aca="false">Summary!C8</f>
        <v>72.1795862582329</v>
      </c>
    </row>
    <row r="9" customFormat="false" ht="15" hidden="false" customHeight="false" outlineLevel="0" collapsed="false">
      <c r="A9" s="3" t="s">
        <v>7</v>
      </c>
      <c r="C9" s="4" t="n">
        <f aca="false">Summary!C9</f>
        <v>272.721923383929</v>
      </c>
    </row>
    <row r="10" customFormat="false" ht="15" hidden="false" customHeight="false" outlineLevel="0" collapsed="false">
      <c r="A10" s="3" t="s">
        <v>8</v>
      </c>
      <c r="C10" s="5" t="str">
        <f aca="false">TEXT(6.90160125596957,"$0")&amp;" / "&amp;TEXT(28.557500697222,"$0")&amp;" / "&amp;TEXT(63.6353294338,"$0")</f>
        <v>$7 / $29 / $64</v>
      </c>
    </row>
    <row r="11" customFormat="false" ht="15" hidden="false" customHeight="false" outlineLevel="0" collapsed="false">
      <c r="A11" s="3" t="s">
        <v>9</v>
      </c>
      <c r="C11" s="6" t="n">
        <f aca="false">Drivers!$C$30</f>
        <v>0.1043</v>
      </c>
    </row>
    <row r="14" customFormat="false" ht="15" hidden="false" customHeight="false" outlineLevel="0" collapsed="false">
      <c r="A14" s="7" t="s">
        <v>10</v>
      </c>
    </row>
    <row r="15" customFormat="false" ht="15" hidden="false" customHeight="false" outlineLevel="0" collapsed="false">
      <c r="A15" s="7" t="s">
        <v>11</v>
      </c>
    </row>
    <row r="16" customFormat="false" ht="15" hidden="false" customHeight="false" outlineLevel="0" collapsed="false">
      <c r="A16" s="7" t="s">
        <v>12</v>
      </c>
    </row>
    <row r="17" customFormat="false" ht="15" hidden="false" customHeight="false" outlineLevel="0" collapsed="false">
      <c r="A17" s="7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6" min="2" style="0" width="13"/>
    <col collapsed="false" customWidth="true" hidden="false" outlineLevel="0" max="7" min="7" style="0" width="40"/>
    <col collapsed="false" customWidth="true" hidden="false" outlineLevel="0" max="9" min="9" style="0" width="44"/>
    <col collapsed="false" customWidth="true" hidden="false" outlineLevel="0" max="10" min="10" style="0" width="12"/>
  </cols>
  <sheetData>
    <row r="1" customFormat="false" ht="17.35" hidden="false" customHeight="false" outlineLevel="0" collapsed="false">
      <c r="A1" s="1" t="s">
        <v>14</v>
      </c>
    </row>
    <row r="2" customFormat="false" ht="15" hidden="false" customHeight="false" outlineLevel="0" collapsed="false">
      <c r="A2" s="2" t="s">
        <v>15</v>
      </c>
    </row>
    <row r="4" customFormat="false" ht="15" hidden="false" customHeight="false" outlineLevel="0" collapsed="false">
      <c r="A4" s="8" t="s">
        <v>16</v>
      </c>
      <c r="B4" s="8" t="s">
        <v>17</v>
      </c>
      <c r="C4" s="8" t="s">
        <v>18</v>
      </c>
      <c r="D4" s="8" t="s">
        <v>19</v>
      </c>
      <c r="E4" s="8" t="s">
        <v>20</v>
      </c>
      <c r="F4" s="8" t="s">
        <v>21</v>
      </c>
      <c r="G4" s="8" t="s">
        <v>22</v>
      </c>
    </row>
    <row r="5" customFormat="false" ht="15" hidden="false" customHeight="false" outlineLevel="0" collapsed="false">
      <c r="A5" s="9" t="s">
        <v>23</v>
      </c>
      <c r="B5" s="6" t="n">
        <f aca="false">Drivers!D56</f>
        <v>0.1</v>
      </c>
      <c r="C5" s="4" t="n">
        <f aca="false">M_Failure!$C$109</f>
        <v>6.90160125596957</v>
      </c>
      <c r="D5" s="10" t="n">
        <f aca="false">M_Failure!$C$103</f>
        <v>-7.80422614657826</v>
      </c>
      <c r="E5" s="10" t="n">
        <f aca="false">M_Failure!$C$107</f>
        <v>-5.11641676506961</v>
      </c>
      <c r="F5" s="6" t="n">
        <f aca="false">M_Failure!$C$104</f>
        <v>0</v>
      </c>
      <c r="G5" s="11" t="n">
        <f aca="false">C5/Drivers!$C$5-1</f>
        <v>-0.965318586653419</v>
      </c>
    </row>
    <row r="6" customFormat="false" ht="15" hidden="false" customHeight="false" outlineLevel="0" collapsed="false">
      <c r="A6" s="9" t="s">
        <v>24</v>
      </c>
      <c r="B6" s="6" t="n">
        <f aca="false">Drivers!E56</f>
        <v>0.25</v>
      </c>
      <c r="C6" s="4" t="n">
        <f aca="false">M_Bear!$C$109</f>
        <v>6.90160125596957</v>
      </c>
      <c r="D6" s="10" t="n">
        <f aca="false">M_Bear!$C$103</f>
        <v>-4.02424687748694</v>
      </c>
      <c r="E6" s="10" t="n">
        <f aca="false">M_Bear!$C$107</f>
        <v>-1.13643749597829</v>
      </c>
      <c r="F6" s="6" t="n">
        <f aca="false">M_Bear!$C$104</f>
        <v>0</v>
      </c>
      <c r="G6" s="11" t="n">
        <f aca="false">C6/Drivers!$C$5-1</f>
        <v>-0.965318586653419</v>
      </c>
    </row>
    <row r="7" customFormat="false" ht="15" hidden="false" customHeight="false" outlineLevel="0" collapsed="false">
      <c r="A7" s="9" t="s">
        <v>25</v>
      </c>
      <c r="B7" s="6" t="n">
        <f aca="false">Drivers!F56</f>
        <v>0.45</v>
      </c>
      <c r="C7" s="4" t="n">
        <f aca="false">M_Base!$C$109</f>
        <v>26.4757399577457</v>
      </c>
      <c r="D7" s="10" t="n">
        <f aca="false">M_Base!$C$103</f>
        <v>7.72813820306988</v>
      </c>
      <c r="E7" s="10" t="n">
        <f aca="false">M_Base!$C$107</f>
        <v>10.9159475845785</v>
      </c>
      <c r="F7" s="6" t="n">
        <f aca="false">M_Base!$C$104</f>
        <v>0.187764754570278</v>
      </c>
      <c r="G7" s="11" t="n">
        <f aca="false">C7/Drivers!$C$5-1</f>
        <v>-0.866956080614344</v>
      </c>
    </row>
    <row r="8" customFormat="false" ht="15" hidden="false" customHeight="false" outlineLevel="0" collapsed="false">
      <c r="A8" s="9" t="s">
        <v>26</v>
      </c>
      <c r="B8" s="6" t="n">
        <f aca="false">Drivers!G56</f>
        <v>0.2</v>
      </c>
      <c r="C8" s="4" t="n">
        <f aca="false">M_Bull!$C$109</f>
        <v>72.1795862582329</v>
      </c>
      <c r="D8" s="10" t="n">
        <f aca="false">M_Bull!$C$103</f>
        <v>27.3050420342495</v>
      </c>
      <c r="E8" s="10" t="n">
        <f aca="false">M_Bull!$C$107</f>
        <v>30.6928514157582</v>
      </c>
      <c r="F8" s="6" t="n">
        <f aca="false">M_Bull!$C$104</f>
        <v>0.192053769981925</v>
      </c>
      <c r="G8" s="11" t="n">
        <f aca="false">C8/Drivers!$C$5-1</f>
        <v>-0.637288511265162</v>
      </c>
    </row>
    <row r="9" customFormat="false" ht="15" hidden="false" customHeight="false" outlineLevel="0" collapsed="false">
      <c r="A9" s="9" t="s">
        <v>27</v>
      </c>
      <c r="B9" s="6" t="n">
        <f aca="false">Drivers!H56</f>
        <v>0</v>
      </c>
      <c r="C9" s="4" t="n">
        <f aca="false">M_BlueSky!$C$109</f>
        <v>272.721923383929</v>
      </c>
      <c r="D9" s="10" t="n">
        <f aca="false">M_BlueSky!$C$103</f>
        <v>115.821592196735</v>
      </c>
      <c r="E9" s="10" t="n">
        <f aca="false">M_BlueSky!$C$107</f>
        <v>119.192184789328</v>
      </c>
      <c r="F9" s="6" t="n">
        <f aca="false">M_BlueSky!$C$104</f>
        <v>0.414510480663554</v>
      </c>
      <c r="G9" s="11" t="n">
        <f aca="false">C9/Drivers!$C$5-1</f>
        <v>0.370461926552408</v>
      </c>
    </row>
    <row r="10" customFormat="false" ht="15" hidden="false" customHeight="false" outlineLevel="0" collapsed="false">
      <c r="A10" s="3" t="s">
        <v>28</v>
      </c>
      <c r="C10" s="12" t="n">
        <f aca="false">SUMPRODUCT(B5:B8,C5:C8)</f>
        <v>28.7655606722215</v>
      </c>
    </row>
    <row r="12" customFormat="false" ht="15" hidden="false" customHeight="false" outlineLevel="0" collapsed="false">
      <c r="A12" s="8" t="s">
        <v>29</v>
      </c>
      <c r="B12" s="8" t="s">
        <v>30</v>
      </c>
      <c r="C12" s="8" t="s">
        <v>31</v>
      </c>
      <c r="D12" s="8" t="s">
        <v>32</v>
      </c>
      <c r="E12" s="8" t="s">
        <v>33</v>
      </c>
      <c r="F12" s="8" t="s">
        <v>34</v>
      </c>
      <c r="G12" s="8" t="s">
        <v>35</v>
      </c>
    </row>
    <row r="13" customFormat="false" ht="15" hidden="false" customHeight="false" outlineLevel="0" collapsed="false">
      <c r="A13" s="9" t="s">
        <v>36</v>
      </c>
      <c r="B13" s="13" t="n">
        <f aca="false">C6</f>
        <v>6.90160125596957</v>
      </c>
      <c r="C13" s="13" t="n">
        <f aca="false">C10</f>
        <v>28.7655606722215</v>
      </c>
      <c r="D13" s="13" t="n">
        <f aca="false">C8</f>
        <v>72.1795862582329</v>
      </c>
      <c r="E13" s="14" t="n">
        <v>0.45</v>
      </c>
      <c r="F13" s="13" t="n">
        <f aca="false">C13*E13</f>
        <v>12.9445023024997</v>
      </c>
      <c r="G13" s="15" t="s">
        <v>37</v>
      </c>
    </row>
    <row r="14" customFormat="false" ht="15" hidden="false" customHeight="false" outlineLevel="0" collapsed="false">
      <c r="A14" s="9" t="s">
        <v>38</v>
      </c>
      <c r="B14" s="16" t="n">
        <v>6.90160125596957</v>
      </c>
      <c r="C14" s="16" t="n">
        <v>32.978244027056</v>
      </c>
      <c r="D14" s="16" t="n">
        <v>63.6353294338001</v>
      </c>
      <c r="E14" s="14" t="n">
        <v>0.25</v>
      </c>
      <c r="F14" s="13" t="n">
        <f aca="false">C14*E14</f>
        <v>8.244561006764</v>
      </c>
      <c r="G14" s="15" t="s">
        <v>39</v>
      </c>
    </row>
    <row r="15" customFormat="false" ht="15" hidden="false" customHeight="false" outlineLevel="0" collapsed="false">
      <c r="A15" s="9" t="s">
        <v>40</v>
      </c>
      <c r="B15" s="13" t="n">
        <f aca="false">$J$50</f>
        <v>22.0347237317775</v>
      </c>
      <c r="C15" s="13" t="n">
        <f aca="false">$J$52</f>
        <v>30.4094808406233</v>
      </c>
      <c r="D15" s="13" t="n">
        <f aca="false">$J$54</f>
        <v>38.784237949469</v>
      </c>
      <c r="E15" s="14" t="n">
        <v>0.15</v>
      </c>
      <c r="F15" s="13" t="n">
        <f aca="false">C15*E15</f>
        <v>4.56142212609349</v>
      </c>
      <c r="G15" s="15" t="s">
        <v>41</v>
      </c>
    </row>
    <row r="16" customFormat="false" ht="15" hidden="false" customHeight="false" outlineLevel="0" collapsed="false">
      <c r="A16" s="9" t="s">
        <v>42</v>
      </c>
      <c r="B16" s="13" t="n">
        <f aca="false">$J$58</f>
        <v>51.9634820288163</v>
      </c>
      <c r="C16" s="13" t="n">
        <f aca="false">($J$58+$J$59)/2</f>
        <v>68.807964456016</v>
      </c>
      <c r="D16" s="13" t="n">
        <f aca="false">$J$59</f>
        <v>85.6524468832156</v>
      </c>
      <c r="E16" s="14" t="n">
        <v>0.1</v>
      </c>
      <c r="F16" s="13" t="n">
        <f aca="false">C16*E16</f>
        <v>6.8807964456016</v>
      </c>
      <c r="G16" s="15" t="s">
        <v>43</v>
      </c>
    </row>
    <row r="17" customFormat="false" ht="15" hidden="false" customHeight="false" outlineLevel="0" collapsed="false">
      <c r="A17" s="9" t="s">
        <v>44</v>
      </c>
      <c r="B17" s="13" t="n">
        <f aca="false">$J$64</f>
        <v>11.3550860998261</v>
      </c>
      <c r="C17" s="13" t="n">
        <f aca="false">$J$64</f>
        <v>11.3550860998261</v>
      </c>
      <c r="D17" s="13" t="n">
        <f aca="false">$J$64</f>
        <v>11.3550860998261</v>
      </c>
      <c r="E17" s="14" t="n">
        <v>0.025</v>
      </c>
      <c r="F17" s="13" t="n">
        <f aca="false">C17*E17</f>
        <v>0.283877152495653</v>
      </c>
      <c r="G17" s="15" t="s">
        <v>45</v>
      </c>
    </row>
    <row r="18" customFormat="false" ht="15" hidden="false" customHeight="false" outlineLevel="0" collapsed="false">
      <c r="A18" s="9" t="s">
        <v>46</v>
      </c>
      <c r="B18" s="13" t="n">
        <f aca="false">Drivers!$C$141</f>
        <v>6.90160125596957</v>
      </c>
      <c r="C18" s="13" t="n">
        <f aca="false">Drivers!$C$141</f>
        <v>6.90160125596957</v>
      </c>
      <c r="D18" s="13" t="n">
        <f aca="false">Drivers!$C$141</f>
        <v>6.90160125596957</v>
      </c>
      <c r="E18" s="14" t="n">
        <v>0.025</v>
      </c>
      <c r="F18" s="13" t="n">
        <f aca="false">C18*E18</f>
        <v>0.172540031399239</v>
      </c>
      <c r="G18" s="15" t="s">
        <v>47</v>
      </c>
    </row>
    <row r="19" customFormat="false" ht="15" hidden="false" customHeight="false" outlineLevel="0" collapsed="false">
      <c r="A19" s="3" t="s">
        <v>48</v>
      </c>
      <c r="E19" s="17" t="n">
        <f aca="false">SUM(E13:E18)</f>
        <v>1</v>
      </c>
      <c r="F19" s="12" t="n">
        <f aca="false">SUM(F13:F18)</f>
        <v>33.0876990648536</v>
      </c>
    </row>
    <row r="20" customFormat="false" ht="15" hidden="false" customHeight="false" outlineLevel="0" collapsed="false">
      <c r="A20" s="3" t="s">
        <v>49</v>
      </c>
      <c r="F20" s="4" t="n">
        <f aca="false">Drivers!$C$5</f>
        <v>199</v>
      </c>
    </row>
    <row r="21" customFormat="false" ht="15" hidden="false" customHeight="false" outlineLevel="0" collapsed="false">
      <c r="A21" s="3" t="s">
        <v>50</v>
      </c>
      <c r="F21" s="17" t="n">
        <f aca="false">F19/Drivers!$C$5-1</f>
        <v>-0.833730155452997</v>
      </c>
    </row>
    <row r="23" customFormat="false" ht="15" hidden="false" customHeight="false" outlineLevel="0" collapsed="false">
      <c r="A23" s="3" t="s">
        <v>51</v>
      </c>
    </row>
    <row r="24" customFormat="false" ht="15" hidden="false" customHeight="false" outlineLevel="0" collapsed="false">
      <c r="A24" s="8" t="s">
        <v>52</v>
      </c>
      <c r="B24" s="8" t="s">
        <v>53</v>
      </c>
    </row>
    <row r="25" customFormat="false" ht="15" hidden="false" customHeight="false" outlineLevel="0" collapsed="false">
      <c r="A25" s="9" t="s">
        <v>54</v>
      </c>
      <c r="B25" s="16" t="n">
        <v>6.90160125596957</v>
      </c>
    </row>
    <row r="26" customFormat="false" ht="15" hidden="false" customHeight="false" outlineLevel="0" collapsed="false">
      <c r="A26" s="9" t="s">
        <v>55</v>
      </c>
      <c r="B26" s="16" t="n">
        <v>6.90160125596957</v>
      </c>
    </row>
    <row r="27" customFormat="false" ht="15" hidden="false" customHeight="false" outlineLevel="0" collapsed="false">
      <c r="A27" s="9" t="s">
        <v>56</v>
      </c>
      <c r="B27" s="16" t="n">
        <v>14.1151529004899</v>
      </c>
    </row>
    <row r="28" customFormat="false" ht="15" hidden="false" customHeight="false" outlineLevel="0" collapsed="false">
      <c r="A28" s="9" t="s">
        <v>57</v>
      </c>
      <c r="B28" s="16" t="n">
        <v>28.557500697222</v>
      </c>
    </row>
    <row r="29" customFormat="false" ht="15" hidden="false" customHeight="false" outlineLevel="0" collapsed="false">
      <c r="A29" s="9" t="s">
        <v>58</v>
      </c>
      <c r="B29" s="16" t="n">
        <v>45.3258638199989</v>
      </c>
    </row>
    <row r="30" customFormat="false" ht="15" hidden="false" customHeight="false" outlineLevel="0" collapsed="false">
      <c r="A30" s="9" t="s">
        <v>59</v>
      </c>
      <c r="B30" s="16" t="n">
        <v>63.6353294338001</v>
      </c>
    </row>
    <row r="31" customFormat="false" ht="15" hidden="false" customHeight="false" outlineLevel="0" collapsed="false">
      <c r="A31" s="9" t="s">
        <v>60</v>
      </c>
      <c r="B31" s="16" t="n">
        <v>77.3098934169781</v>
      </c>
    </row>
    <row r="32" customFormat="false" ht="15" hidden="false" customHeight="false" outlineLevel="0" collapsed="false">
      <c r="A32" s="9" t="s">
        <v>61</v>
      </c>
      <c r="B32" s="16" t="n">
        <v>108.531262600059</v>
      </c>
    </row>
    <row r="33" customFormat="false" ht="15" hidden="false" customHeight="false" outlineLevel="0" collapsed="false">
      <c r="A33" s="9" t="s">
        <v>62</v>
      </c>
      <c r="B33" s="16" t="n">
        <v>32.978244027056</v>
      </c>
    </row>
    <row r="34" customFormat="false" ht="15" hidden="false" customHeight="false" outlineLevel="0" collapsed="false">
      <c r="A34" s="9" t="s">
        <v>63</v>
      </c>
      <c r="B34" s="18" t="n">
        <v>0.00025</v>
      </c>
    </row>
    <row r="36" customFormat="false" ht="15" hidden="false" customHeight="false" outlineLevel="0" collapsed="false">
      <c r="A36" s="3" t="s">
        <v>64</v>
      </c>
    </row>
    <row r="37" customFormat="false" ht="15" hidden="false" customHeight="false" outlineLevel="0" collapsed="false">
      <c r="A37" s="9" t="s">
        <v>65</v>
      </c>
      <c r="B37" s="19" t="n">
        <v>81.4064288956678</v>
      </c>
    </row>
    <row r="38" customFormat="false" ht="15" hidden="false" customHeight="false" outlineLevel="0" collapsed="false">
      <c r="A38" s="9" t="s">
        <v>66</v>
      </c>
      <c r="B38" s="19" t="n">
        <v>93.4668158960751</v>
      </c>
    </row>
    <row r="39" customFormat="false" ht="15" hidden="false" customHeight="false" outlineLevel="0" collapsed="false">
      <c r="A39" s="9" t="s">
        <v>67</v>
      </c>
      <c r="B39" s="19" t="n">
        <v>51.209471841792</v>
      </c>
      <c r="I39" s="3" t="s">
        <v>68</v>
      </c>
    </row>
    <row r="40" customFormat="false" ht="15" hidden="false" customHeight="false" outlineLevel="0" collapsed="false">
      <c r="A40" s="9" t="s">
        <v>69</v>
      </c>
      <c r="B40" s="19" t="n">
        <v>22</v>
      </c>
      <c r="I40" s="9" t="s">
        <v>70</v>
      </c>
      <c r="J40" s="20" t="n">
        <v>1.38895754939623</v>
      </c>
    </row>
    <row r="41" customFormat="false" ht="15" hidden="false" customHeight="false" outlineLevel="0" collapsed="false">
      <c r="A41" s="9" t="s">
        <v>71</v>
      </c>
      <c r="B41" s="21" t="n">
        <v>0.0197771331712517</v>
      </c>
      <c r="I41" s="9" t="s">
        <v>72</v>
      </c>
      <c r="J41" s="20" t="n">
        <v>1.17444395159978</v>
      </c>
    </row>
    <row r="42" customFormat="false" ht="15" hidden="false" customHeight="false" outlineLevel="0" collapsed="false">
      <c r="A42" s="9" t="s">
        <v>73</v>
      </c>
      <c r="B42" s="21" t="n">
        <v>0.632387233336562</v>
      </c>
      <c r="I42" s="9" t="s">
        <v>74</v>
      </c>
      <c r="J42" s="20" t="n">
        <v>0.233008182202645</v>
      </c>
    </row>
    <row r="43" customFormat="false" ht="15" hidden="false" customHeight="false" outlineLevel="0" collapsed="false">
      <c r="I43" s="9" t="s">
        <v>75</v>
      </c>
      <c r="J43" s="22" t="n">
        <f aca="false">M_Base!F81</f>
        <v>4.2898</v>
      </c>
    </row>
    <row r="44" customFormat="false" ht="15" hidden="false" customHeight="false" outlineLevel="0" collapsed="false">
      <c r="I44" s="9" t="s">
        <v>76</v>
      </c>
      <c r="J44" s="11" t="n">
        <f aca="false">(M_Base!F81/M_Base!C81)^(1/3)-1</f>
        <v>0.190510781002994</v>
      </c>
    </row>
    <row r="45" customFormat="false" ht="15" hidden="false" customHeight="false" outlineLevel="0" collapsed="false">
      <c r="I45" s="9" t="s">
        <v>77</v>
      </c>
      <c r="J45" s="11" t="n">
        <f aca="false">M_Base!F85/M_Base!F81</f>
        <v>-0.0934730508026793</v>
      </c>
    </row>
    <row r="46" customFormat="false" ht="15" hidden="false" customHeight="false" outlineLevel="0" collapsed="false">
      <c r="I46" s="9" t="s">
        <v>78</v>
      </c>
      <c r="J46" s="23" t="n">
        <f aca="false">EXP($J$40+$J$41*MIN($J$44,1)+$J$42*MAX($J$45,-1))</f>
        <v>4.90827127932501</v>
      </c>
    </row>
    <row r="47" customFormat="false" ht="15" hidden="false" customHeight="false" outlineLevel="0" collapsed="false">
      <c r="I47" s="9" t="s">
        <v>79</v>
      </c>
      <c r="J47" s="24" t="n">
        <f aca="false">M_Base!$C$97+SUMPRODUCT(M_Base!C90:F90,M_Base!C92:F92)</f>
        <v>-4.46162985482812</v>
      </c>
    </row>
    <row r="48" customFormat="false" ht="15" hidden="false" customHeight="false" outlineLevel="0" collapsed="false">
      <c r="I48" s="9" t="s">
        <v>80</v>
      </c>
      <c r="J48" s="6" t="n">
        <f aca="false">M_Base!$C$19</f>
        <v>0.1043</v>
      </c>
    </row>
    <row r="49" customFormat="false" ht="15" hidden="false" customHeight="false" outlineLevel="0" collapsed="false">
      <c r="I49" s="9" t="s">
        <v>81</v>
      </c>
      <c r="J49" s="24" t="n">
        <f aca="false">0.75*$J$46*$J$43*(1+$J$48)^(-4.25)+$J$47+Drivers!$C$6-M_Base!$C$106</f>
        <v>9.08491659461186</v>
      </c>
    </row>
    <row r="50" customFormat="false" ht="15" hidden="false" customHeight="false" outlineLevel="0" collapsed="false">
      <c r="I50" s="9" t="s">
        <v>82</v>
      </c>
      <c r="J50" s="13" t="n">
        <f aca="false">IF(($J$49)*1000/(Drivers!$C$19+Drivers!$C$22)&lt;=Drivers!$C$21,($J$49)*1000/(Drivers!$C$19+Drivers!$C$22),IF((($J$49)*1000+Drivers!$C$20*Drivers!$C$21)/(Drivers!$C$19+Drivers!$C$22+Drivers!$C$20)&lt;=Drivers!$C$10,(($J$49)*1000+Drivers!$C$20*Drivers!$C$21)/(Drivers!$C$19+Drivers!$C$22+Drivers!$C$20),(($J$49)*1000+Drivers!$C$20*Drivers!$C$21+Drivers!$C$11*Drivers!$C$10)/(Drivers!$C$19+Drivers!$C$22+Drivers!$C$20+Drivers!$C$11)))</f>
        <v>22.0347237317775</v>
      </c>
    </row>
    <row r="51" customFormat="false" ht="15" hidden="false" customHeight="false" outlineLevel="0" collapsed="false">
      <c r="I51" s="9" t="s">
        <v>83</v>
      </c>
      <c r="J51" s="24" t="n">
        <f aca="false">1*$J$46*$J$43*(1+$J$48)^(-4.25)+$J$47+Drivers!$C$6-M_Base!$C$106</f>
        <v>12.537828950589</v>
      </c>
    </row>
    <row r="52" customFormat="false" ht="15" hidden="false" customHeight="false" outlineLevel="0" collapsed="false">
      <c r="I52" s="9" t="s">
        <v>84</v>
      </c>
      <c r="J52" s="13" t="n">
        <f aca="false">IF(($J$51)*1000/(Drivers!$C$19+Drivers!$C$22)&lt;=Drivers!$C$21,($J$51)*1000/(Drivers!$C$19+Drivers!$C$22),IF((($J$51)*1000+Drivers!$C$20*Drivers!$C$21)/(Drivers!$C$19+Drivers!$C$22+Drivers!$C$20)&lt;=Drivers!$C$10,(($J$51)*1000+Drivers!$C$20*Drivers!$C$21)/(Drivers!$C$19+Drivers!$C$22+Drivers!$C$20),(($J$51)*1000+Drivers!$C$20*Drivers!$C$21+Drivers!$C$11*Drivers!$C$10)/(Drivers!$C$19+Drivers!$C$22+Drivers!$C$20+Drivers!$C$11)))</f>
        <v>30.4094808406233</v>
      </c>
    </row>
    <row r="53" customFormat="false" ht="15" hidden="false" customHeight="false" outlineLevel="0" collapsed="false">
      <c r="I53" s="9" t="s">
        <v>85</v>
      </c>
      <c r="J53" s="24" t="n">
        <f aca="false">1.25*$J$46*$J$43*(1+$J$48)^(-4.25)+$J$47+Drivers!$C$6-M_Base!$C$106</f>
        <v>15.9907413065661</v>
      </c>
    </row>
    <row r="54" customFormat="false" ht="15" hidden="false" customHeight="false" outlineLevel="0" collapsed="false">
      <c r="I54" s="9" t="s">
        <v>86</v>
      </c>
      <c r="J54" s="13" t="n">
        <f aca="false">IF(($J$53)*1000/(Drivers!$C$19+Drivers!$C$22)&lt;=Drivers!$C$21,($J$53)*1000/(Drivers!$C$19+Drivers!$C$22),IF((($J$53)*1000+Drivers!$C$20*Drivers!$C$21)/(Drivers!$C$19+Drivers!$C$22+Drivers!$C$20)&lt;=Drivers!$C$10,(($J$53)*1000+Drivers!$C$20*Drivers!$C$21)/(Drivers!$C$19+Drivers!$C$22+Drivers!$C$20),(($J$53)*1000+Drivers!$C$20*Drivers!$C$21+Drivers!$C$11*Drivers!$C$10)/(Drivers!$C$19+Drivers!$C$22+Drivers!$C$20+Drivers!$C$11)))</f>
        <v>38.784237949469</v>
      </c>
    </row>
    <row r="55" customFormat="false" ht="15" hidden="false" customHeight="false" outlineLevel="0" collapsed="false">
      <c r="I55" s="9" t="s">
        <v>87</v>
      </c>
      <c r="J55" s="24" t="n">
        <f aca="false">MAX(M_Base!C81:U81)</f>
        <v>7.4334700951232</v>
      </c>
    </row>
    <row r="56" customFormat="false" ht="15" hidden="false" customHeight="false" outlineLevel="0" collapsed="false">
      <c r="I56" s="9" t="s">
        <v>88</v>
      </c>
      <c r="J56" s="25" t="n">
        <v>2.5</v>
      </c>
    </row>
    <row r="57" customFormat="false" ht="15" hidden="false" customHeight="false" outlineLevel="0" collapsed="false">
      <c r="I57" s="9" t="s">
        <v>89</v>
      </c>
      <c r="J57" s="25" t="n">
        <v>4.5</v>
      </c>
    </row>
    <row r="58" customFormat="false" ht="15" hidden="false" customHeight="false" outlineLevel="0" collapsed="false">
      <c r="I58" s="9" t="s">
        <v>90</v>
      </c>
      <c r="J58" s="13" t="n">
        <f aca="false">IF(($J$56*$J$55+Drivers!$C$6-M_Base!$C$106)*1000/(Drivers!$C$19+Drivers!$C$22)&lt;=Drivers!$C$21,($J$56*$J$55+Drivers!$C$6-M_Base!$C$106)*1000/(Drivers!$C$19+Drivers!$C$22),IF((($J$56*$J$55+Drivers!$C$6-M_Base!$C$106)*1000+Drivers!$C$20*Drivers!$C$21)/(Drivers!$C$19+Drivers!$C$22+Drivers!$C$20)&lt;=Drivers!$C$10,(($J$56*$J$55+Drivers!$C$6-M_Base!$C$106)*1000+Drivers!$C$20*Drivers!$C$21)/(Drivers!$C$19+Drivers!$C$22+Drivers!$C$20),(($J$56*$J$55+Drivers!$C$6-M_Base!$C$106)*1000+Drivers!$C$20*Drivers!$C$21+Drivers!$C$11*Drivers!$C$10)/(Drivers!$C$19+Drivers!$C$22+Drivers!$C$20+Drivers!$C$11)))</f>
        <v>51.9634820288163</v>
      </c>
    </row>
    <row r="59" customFormat="false" ht="15" hidden="false" customHeight="false" outlineLevel="0" collapsed="false">
      <c r="I59" s="9" t="s">
        <v>91</v>
      </c>
      <c r="J59" s="13" t="n">
        <f aca="false">IF(($J$57*$J$55+Drivers!$C$6-M_Base!$C$106)*1000/(Drivers!$C$19+Drivers!$C$22)&lt;=Drivers!$C$21,($J$57*$J$55+Drivers!$C$6-M_Base!$C$106)*1000/(Drivers!$C$19+Drivers!$C$22),IF((($J$57*$J$55+Drivers!$C$6-M_Base!$C$106)*1000+Drivers!$C$20*Drivers!$C$21)/(Drivers!$C$19+Drivers!$C$22+Drivers!$C$20)&lt;=Drivers!$C$10,(($J$57*$J$55+Drivers!$C$6-M_Base!$C$106)*1000+Drivers!$C$20*Drivers!$C$21)/(Drivers!$C$19+Drivers!$C$22+Drivers!$C$20),(($J$57*$J$55+Drivers!$C$6-M_Base!$C$106)*1000+Drivers!$C$20*Drivers!$C$21+Drivers!$C$11*Drivers!$C$10)/(Drivers!$C$19+Drivers!$C$22+Drivers!$C$20+Drivers!$C$11)))</f>
        <v>85.6524468832156</v>
      </c>
    </row>
    <row r="60" customFormat="false" ht="15" hidden="false" customHeight="false" outlineLevel="0" collapsed="false">
      <c r="I60" s="9" t="s">
        <v>92</v>
      </c>
      <c r="J60" s="11" t="n">
        <f aca="false">Drivers!$I$75-0.03</f>
        <v>0.72</v>
      </c>
    </row>
    <row r="61" customFormat="false" ht="15" hidden="false" customHeight="false" outlineLevel="0" collapsed="false">
      <c r="I61" s="9" t="s">
        <v>93</v>
      </c>
      <c r="J61" s="24" t="n">
        <f aca="false">Drivers!$C$35*$J$60-MAX(Drivers!$C$80,Drivers!$C$79*Drivers!$C$35)-Drivers!$C$129-0.45</f>
        <v>0.1988</v>
      </c>
    </row>
    <row r="62" customFormat="false" ht="15" hidden="false" customHeight="false" outlineLevel="0" collapsed="false">
      <c r="I62" s="9" t="s">
        <v>94</v>
      </c>
      <c r="J62" s="24" t="n">
        <f aca="false">IF($J$61&gt;0,$J$61*(1-Drivers!$C$31),$J$61)</f>
        <v>0.161028</v>
      </c>
    </row>
    <row r="63" customFormat="false" ht="15" hidden="false" customHeight="false" outlineLevel="0" collapsed="false">
      <c r="I63" s="9" t="s">
        <v>95</v>
      </c>
      <c r="J63" s="24" t="n">
        <f aca="false">$J$62/$J$48+Drivers!$C$6-Drivers!$C$7-Drivers!$C$8-Drivers!$C$12-Drivers!$C$13*(Drivers!$C$14+Drivers!$C$15*Drivers!$C$16)/(1+$J$48)-Drivers!$F$55</f>
        <v>4.68170199895831</v>
      </c>
    </row>
    <row r="64" customFormat="false" ht="15" hidden="false" customHeight="false" outlineLevel="0" collapsed="false">
      <c r="I64" s="9" t="s">
        <v>96</v>
      </c>
      <c r="J64" s="13" t="n">
        <f aca="false">IF(($J$63)*1000/(Drivers!$C$19+Drivers!$C$22)&lt;=Drivers!$C$21,($J$63)*1000/(Drivers!$C$19+Drivers!$C$22),IF((($J$63)*1000+Drivers!$C$20*Drivers!$C$21)/(Drivers!$C$19+Drivers!$C$22+Drivers!$C$20)&lt;=Drivers!$C$10,(($J$63)*1000+Drivers!$C$20*Drivers!$C$21)/(Drivers!$C$19+Drivers!$C$22+Drivers!$C$20),(($J$63)*1000+Drivers!$C$20*Drivers!$C$21+Drivers!$C$11*Drivers!$C$10)/(Drivers!$C$19+Drivers!$C$22+Drivers!$C$20+Drivers!$C$11)))</f>
        <v>11.3550860998261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2"/>
    <col collapsed="false" customWidth="true" hidden="false" outlineLevel="0" max="3" min="3" style="0" width="14"/>
    <col collapsed="false" customWidth="true" hidden="false" outlineLevel="0" max="10" min="4" style="0" width="12"/>
  </cols>
  <sheetData>
    <row r="1" customFormat="false" ht="17.35" hidden="false" customHeight="false" outlineLevel="0" collapsed="false">
      <c r="A1" s="1" t="s">
        <v>97</v>
      </c>
    </row>
    <row r="4" customFormat="false" ht="15" hidden="false" customHeight="false" outlineLevel="0" collapsed="false">
      <c r="A4" s="3" t="s">
        <v>98</v>
      </c>
    </row>
    <row r="5" customFormat="false" ht="15" hidden="false" customHeight="false" outlineLevel="0" collapsed="false">
      <c r="B5" s="9" t="s">
        <v>99</v>
      </c>
      <c r="C5" s="16" t="n">
        <v>199</v>
      </c>
      <c r="D5" s="15" t="s">
        <v>100</v>
      </c>
    </row>
    <row r="6" customFormat="false" ht="15" hidden="false" customHeight="false" outlineLevel="0" collapsed="false">
      <c r="B6" s="9" t="s">
        <v>101</v>
      </c>
      <c r="C6" s="26" t="n">
        <v>8.04</v>
      </c>
      <c r="D6" s="15" t="s">
        <v>102</v>
      </c>
    </row>
    <row r="7" customFormat="false" ht="15" hidden="false" customHeight="false" outlineLevel="0" collapsed="false">
      <c r="B7" s="9" t="s">
        <v>103</v>
      </c>
      <c r="C7" s="27" t="n">
        <v>0.6</v>
      </c>
      <c r="D7" s="15" t="s">
        <v>104</v>
      </c>
    </row>
    <row r="8" customFormat="false" ht="15" hidden="false" customHeight="false" outlineLevel="0" collapsed="false">
      <c r="B8" s="9" t="s">
        <v>105</v>
      </c>
      <c r="C8" s="27" t="n">
        <v>3</v>
      </c>
      <c r="D8" s="15" t="s">
        <v>106</v>
      </c>
    </row>
    <row r="9" customFormat="false" ht="15" hidden="false" customHeight="false" outlineLevel="0" collapsed="false">
      <c r="B9" s="9" t="s">
        <v>107</v>
      </c>
      <c r="C9" s="16" t="n">
        <v>210.58</v>
      </c>
      <c r="D9" s="15"/>
    </row>
    <row r="10" customFormat="false" ht="15" hidden="false" customHeight="false" outlineLevel="0" collapsed="false">
      <c r="B10" s="9" t="s">
        <v>108</v>
      </c>
      <c r="C10" s="16" t="n">
        <v>392.62</v>
      </c>
      <c r="D10" s="15"/>
    </row>
    <row r="11" customFormat="false" ht="15" hidden="false" customHeight="false" outlineLevel="0" collapsed="false">
      <c r="B11" s="9" t="s">
        <v>109</v>
      </c>
      <c r="C11" s="27" t="n">
        <v>14.2461</v>
      </c>
      <c r="D11" s="15"/>
    </row>
    <row r="12" customFormat="false" ht="15" hidden="false" customHeight="false" outlineLevel="0" collapsed="false">
      <c r="B12" s="9" t="s">
        <v>110</v>
      </c>
      <c r="C12" s="27" t="n">
        <v>0.037</v>
      </c>
      <c r="D12" s="15"/>
    </row>
    <row r="13" customFormat="false" ht="15" hidden="false" customHeight="false" outlineLevel="0" collapsed="false">
      <c r="B13" s="9" t="s">
        <v>111</v>
      </c>
      <c r="C13" s="26" t="n">
        <v>1.3</v>
      </c>
      <c r="D13" s="15" t="s">
        <v>112</v>
      </c>
    </row>
    <row r="14" customFormat="false" ht="15" hidden="false" customHeight="false" outlineLevel="0" collapsed="false">
      <c r="B14" s="9" t="s">
        <v>113</v>
      </c>
      <c r="C14" s="21" t="n">
        <v>0.6</v>
      </c>
      <c r="D14" s="15"/>
    </row>
    <row r="15" customFormat="false" ht="15" hidden="false" customHeight="false" outlineLevel="0" collapsed="false">
      <c r="B15" s="9" t="s">
        <v>114</v>
      </c>
      <c r="C15" s="21" t="n">
        <v>0.1</v>
      </c>
      <c r="D15" s="15"/>
    </row>
    <row r="16" customFormat="false" ht="15" hidden="false" customHeight="false" outlineLevel="0" collapsed="false">
      <c r="B16" s="9" t="s">
        <v>115</v>
      </c>
      <c r="C16" s="21" t="n">
        <v>0.5</v>
      </c>
      <c r="D16" s="15"/>
    </row>
    <row r="17" customFormat="false" ht="15" hidden="false" customHeight="false" outlineLevel="0" collapsed="false">
      <c r="B17" s="9" t="s">
        <v>116</v>
      </c>
      <c r="C17" s="19" t="n">
        <v>1</v>
      </c>
      <c r="D17" s="15"/>
    </row>
    <row r="18" customFormat="false" ht="15" hidden="false" customHeight="false" outlineLevel="0" collapsed="false">
      <c r="B18" s="9" t="s">
        <v>117</v>
      </c>
      <c r="C18" s="27" t="n">
        <v>0.05</v>
      </c>
      <c r="D18" s="15" t="s">
        <v>118</v>
      </c>
    </row>
    <row r="19" customFormat="false" ht="15" hidden="false" customHeight="false" outlineLevel="0" collapsed="false">
      <c r="B19" s="9" t="s">
        <v>119</v>
      </c>
      <c r="C19" s="19" t="n">
        <v>399.3</v>
      </c>
      <c r="D19" s="15" t="s">
        <v>120</v>
      </c>
    </row>
    <row r="20" customFormat="false" ht="15" hidden="false" customHeight="false" outlineLevel="0" collapsed="false">
      <c r="B20" s="9" t="s">
        <v>121</v>
      </c>
      <c r="C20" s="19" t="n">
        <v>29</v>
      </c>
      <c r="D20" s="15" t="s">
        <v>122</v>
      </c>
    </row>
    <row r="21" customFormat="false" ht="15" hidden="false" customHeight="false" outlineLevel="0" collapsed="false">
      <c r="B21" s="9" t="s">
        <v>123</v>
      </c>
      <c r="C21" s="16" t="n">
        <v>40</v>
      </c>
      <c r="D21" s="15"/>
    </row>
    <row r="22" customFormat="false" ht="15" hidden="false" customHeight="false" outlineLevel="0" collapsed="false">
      <c r="B22" s="9" t="s">
        <v>124</v>
      </c>
      <c r="C22" s="19" t="n">
        <v>13</v>
      </c>
      <c r="D22" s="15"/>
    </row>
    <row r="24" customFormat="false" ht="15" hidden="false" customHeight="false" outlineLevel="0" collapsed="false">
      <c r="A24" s="3" t="s">
        <v>125</v>
      </c>
    </row>
    <row r="25" customFormat="false" ht="15" hidden="false" customHeight="false" outlineLevel="0" collapsed="false">
      <c r="B25" s="9" t="s">
        <v>126</v>
      </c>
      <c r="C25" s="21" t="n">
        <v>0.0517</v>
      </c>
      <c r="D25" s="15" t="s">
        <v>127</v>
      </c>
    </row>
    <row r="26" customFormat="false" ht="15" hidden="false" customHeight="false" outlineLevel="0" collapsed="false">
      <c r="B26" s="9" t="s">
        <v>128</v>
      </c>
      <c r="C26" s="21" t="n">
        <v>0.045</v>
      </c>
      <c r="D26" s="15" t="s">
        <v>129</v>
      </c>
    </row>
    <row r="27" customFormat="false" ht="15" hidden="false" customHeight="false" outlineLevel="0" collapsed="false">
      <c r="B27" s="9" t="s">
        <v>130</v>
      </c>
      <c r="C27" s="19" t="n">
        <v>1.2</v>
      </c>
      <c r="D27" s="15" t="s">
        <v>131</v>
      </c>
    </row>
    <row r="28" customFormat="false" ht="15" hidden="false" customHeight="false" outlineLevel="0" collapsed="false">
      <c r="B28" s="9" t="s">
        <v>132</v>
      </c>
      <c r="C28" s="21" t="n">
        <v>0.075</v>
      </c>
      <c r="D28" s="15"/>
    </row>
    <row r="29" customFormat="false" ht="15" hidden="false" customHeight="false" outlineLevel="0" collapsed="false">
      <c r="B29" s="9" t="s">
        <v>133</v>
      </c>
      <c r="C29" s="21" t="n">
        <v>0.045</v>
      </c>
      <c r="D29" s="15"/>
    </row>
    <row r="30" customFormat="false" ht="15" hidden="false" customHeight="false" outlineLevel="0" collapsed="false">
      <c r="B30" s="3" t="s">
        <v>134</v>
      </c>
      <c r="C30" s="11" t="n">
        <f aca="false">ROUND((1-Drivers!$C$29)*(Drivers!$C$25+Drivers!$C$27*Drivers!$C$26)+Drivers!$C$29*Drivers!$C$28,4)</f>
        <v>0.1043</v>
      </c>
      <c r="D30" s="15" t="s">
        <v>135</v>
      </c>
    </row>
    <row r="31" customFormat="false" ht="15" hidden="false" customHeight="false" outlineLevel="0" collapsed="false">
      <c r="B31" s="9" t="s">
        <v>136</v>
      </c>
      <c r="C31" s="21" t="n">
        <v>0.19</v>
      </c>
      <c r="D31" s="15" t="s">
        <v>137</v>
      </c>
    </row>
    <row r="32" customFormat="false" ht="15" hidden="false" customHeight="false" outlineLevel="0" collapsed="false">
      <c r="B32" s="9" t="s">
        <v>138</v>
      </c>
      <c r="C32" s="26" t="n">
        <v>12.5</v>
      </c>
      <c r="D32" s="15" t="s">
        <v>139</v>
      </c>
    </row>
    <row r="33" customFormat="false" ht="15" hidden="false" customHeight="false" outlineLevel="0" collapsed="false">
      <c r="B33" s="9" t="s">
        <v>140</v>
      </c>
      <c r="C33" s="21" t="n">
        <v>0.8</v>
      </c>
      <c r="D33" s="15"/>
    </row>
    <row r="34" customFormat="false" ht="15" hidden="false" customHeight="false" outlineLevel="0" collapsed="false">
      <c r="B34" s="9" t="s">
        <v>141</v>
      </c>
      <c r="C34" s="27" t="n">
        <v>-0.46</v>
      </c>
      <c r="D34" s="15" t="s">
        <v>142</v>
      </c>
    </row>
    <row r="35" customFormat="false" ht="15" hidden="false" customHeight="false" outlineLevel="0" collapsed="false">
      <c r="B35" s="9" t="s">
        <v>143</v>
      </c>
      <c r="C35" s="27" t="n">
        <v>2.04</v>
      </c>
      <c r="D35" s="15" t="s">
        <v>144</v>
      </c>
    </row>
    <row r="37" customFormat="false" ht="15" hidden="false" customHeight="false" outlineLevel="0" collapsed="false">
      <c r="A37" s="3" t="s">
        <v>145</v>
      </c>
    </row>
    <row r="38" customFormat="false" ht="15" hidden="false" customHeight="false" outlineLevel="0" collapsed="false">
      <c r="A38" s="8"/>
      <c r="B38" s="8" t="s">
        <v>146</v>
      </c>
      <c r="C38" s="8"/>
      <c r="D38" s="8" t="s">
        <v>23</v>
      </c>
      <c r="E38" s="8" t="s">
        <v>24</v>
      </c>
      <c r="F38" s="8" t="s">
        <v>25</v>
      </c>
      <c r="G38" s="8" t="s">
        <v>26</v>
      </c>
      <c r="H38" s="8" t="s">
        <v>147</v>
      </c>
      <c r="I38" s="8" t="s">
        <v>148</v>
      </c>
    </row>
    <row r="39" customFormat="false" ht="15" hidden="false" customHeight="false" outlineLevel="0" collapsed="false">
      <c r="B39" s="9" t="s">
        <v>149</v>
      </c>
      <c r="D39" s="27" t="n">
        <v>0.75</v>
      </c>
      <c r="E39" s="27" t="n">
        <v>0.85</v>
      </c>
      <c r="F39" s="27" t="n">
        <v>1</v>
      </c>
      <c r="G39" s="27" t="n">
        <v>1.1</v>
      </c>
      <c r="H39" s="27" t="n">
        <v>1.1</v>
      </c>
    </row>
    <row r="40" customFormat="false" ht="15" hidden="false" customHeight="false" outlineLevel="0" collapsed="false">
      <c r="B40" s="9" t="s">
        <v>150</v>
      </c>
      <c r="D40" s="27" t="n">
        <v>0.5</v>
      </c>
      <c r="E40" s="27" t="n">
        <v>0.6</v>
      </c>
      <c r="F40" s="27" t="n">
        <v>1</v>
      </c>
      <c r="G40" s="27" t="n">
        <v>1.6</v>
      </c>
      <c r="H40" s="27" t="n">
        <v>1.6</v>
      </c>
    </row>
    <row r="41" customFormat="false" ht="15" hidden="false" customHeight="false" outlineLevel="0" collapsed="false">
      <c r="B41" s="9" t="s">
        <v>151</v>
      </c>
      <c r="D41" s="27" t="n">
        <v>0.5</v>
      </c>
      <c r="E41" s="27" t="n">
        <v>0.6</v>
      </c>
      <c r="F41" s="27" t="n">
        <v>1</v>
      </c>
      <c r="G41" s="27" t="n">
        <v>1.6</v>
      </c>
      <c r="H41" s="27" t="n">
        <v>1.6</v>
      </c>
    </row>
    <row r="42" customFormat="false" ht="15" hidden="false" customHeight="false" outlineLevel="0" collapsed="false">
      <c r="B42" s="9" t="s">
        <v>152</v>
      </c>
      <c r="D42" s="21" t="n">
        <v>0.15</v>
      </c>
      <c r="E42" s="21" t="n">
        <v>0.2</v>
      </c>
      <c r="F42" s="21" t="n">
        <v>0.3</v>
      </c>
      <c r="G42" s="21" t="n">
        <v>0.45</v>
      </c>
      <c r="H42" s="21" t="n">
        <v>1</v>
      </c>
    </row>
    <row r="43" customFormat="false" ht="15" hidden="false" customHeight="false" outlineLevel="0" collapsed="false">
      <c r="B43" s="9" t="s">
        <v>153</v>
      </c>
      <c r="D43" s="21" t="n">
        <v>-0.04</v>
      </c>
      <c r="E43" s="21" t="n">
        <v>-0.02</v>
      </c>
      <c r="F43" s="21" t="n">
        <v>0</v>
      </c>
      <c r="G43" s="21" t="n">
        <v>0.02</v>
      </c>
      <c r="H43" s="21" t="n">
        <v>0.03</v>
      </c>
    </row>
    <row r="44" customFormat="false" ht="15" hidden="false" customHeight="false" outlineLevel="0" collapsed="false">
      <c r="B44" s="9" t="s">
        <v>154</v>
      </c>
      <c r="D44" s="14" t="n">
        <v>0</v>
      </c>
      <c r="E44" s="14" t="n">
        <v>0.85</v>
      </c>
      <c r="F44" s="14" t="n">
        <v>0.88</v>
      </c>
      <c r="G44" s="14" t="n">
        <v>0.93</v>
      </c>
      <c r="H44" s="14" t="n">
        <v>1</v>
      </c>
    </row>
    <row r="45" customFormat="false" ht="15" hidden="false" customHeight="false" outlineLevel="0" collapsed="false">
      <c r="B45" s="9" t="s">
        <v>155</v>
      </c>
      <c r="D45" s="26" t="n">
        <v>2.8</v>
      </c>
      <c r="E45" s="26" t="n">
        <v>1.5</v>
      </c>
      <c r="F45" s="26" t="n">
        <v>2.8</v>
      </c>
      <c r="G45" s="26" t="n">
        <v>5</v>
      </c>
      <c r="H45" s="26" t="n">
        <v>6</v>
      </c>
    </row>
    <row r="46" customFormat="false" ht="15" hidden="false" customHeight="false" outlineLevel="0" collapsed="false">
      <c r="B46" s="9" t="s">
        <v>156</v>
      </c>
      <c r="D46" s="28" t="n">
        <v>2027</v>
      </c>
      <c r="E46" s="28" t="n">
        <v>2028</v>
      </c>
      <c r="F46" s="28" t="n">
        <v>2027</v>
      </c>
      <c r="G46" s="28" t="n">
        <v>2027</v>
      </c>
      <c r="H46" s="28" t="n">
        <v>2027</v>
      </c>
    </row>
    <row r="47" customFormat="false" ht="15" hidden="false" customHeight="false" outlineLevel="0" collapsed="false">
      <c r="B47" s="9" t="s">
        <v>157</v>
      </c>
      <c r="D47" s="27" t="n">
        <v>0.4</v>
      </c>
      <c r="E47" s="27" t="n">
        <v>0.7</v>
      </c>
      <c r="F47" s="27" t="n">
        <v>1</v>
      </c>
      <c r="G47" s="27" t="n">
        <v>1.33</v>
      </c>
      <c r="H47" s="27" t="n">
        <v>10</v>
      </c>
    </row>
    <row r="48" customFormat="false" ht="15" hidden="false" customHeight="false" outlineLevel="0" collapsed="false">
      <c r="B48" s="9" t="s">
        <v>158</v>
      </c>
      <c r="D48" s="27" t="n">
        <v>0.8</v>
      </c>
      <c r="E48" s="27" t="n">
        <v>0.8</v>
      </c>
      <c r="F48" s="27" t="n">
        <v>1</v>
      </c>
      <c r="G48" s="27" t="n">
        <v>1.2</v>
      </c>
      <c r="H48" s="27" t="n">
        <v>1.5</v>
      </c>
    </row>
    <row r="49" customFormat="false" ht="15" hidden="false" customHeight="false" outlineLevel="0" collapsed="false">
      <c r="B49" s="9" t="s">
        <v>159</v>
      </c>
      <c r="D49" s="26" t="n">
        <v>0.8</v>
      </c>
      <c r="E49" s="26" t="n">
        <v>0.75</v>
      </c>
      <c r="F49" s="26" t="n">
        <v>1</v>
      </c>
      <c r="G49" s="26" t="n">
        <v>1.4</v>
      </c>
      <c r="H49" s="26" t="n">
        <v>1.58</v>
      </c>
    </row>
    <row r="50" customFormat="false" ht="15" hidden="false" customHeight="false" outlineLevel="0" collapsed="false">
      <c r="B50" s="9" t="s">
        <v>160</v>
      </c>
      <c r="D50" s="21" t="n">
        <v>0.55</v>
      </c>
      <c r="E50" s="21" t="n">
        <v>0.55</v>
      </c>
      <c r="F50" s="21" t="n">
        <v>0.55</v>
      </c>
      <c r="G50" s="21" t="n">
        <v>0.55</v>
      </c>
      <c r="H50" s="21" t="n">
        <v>0.62</v>
      </c>
    </row>
    <row r="51" customFormat="false" ht="15" hidden="false" customHeight="false" outlineLevel="0" collapsed="false">
      <c r="B51" s="9" t="s">
        <v>161</v>
      </c>
      <c r="D51" s="27" t="n">
        <v>0.6</v>
      </c>
      <c r="E51" s="27" t="n">
        <v>0.85</v>
      </c>
      <c r="F51" s="27" t="n">
        <v>1</v>
      </c>
      <c r="G51" s="27" t="n">
        <v>1.05</v>
      </c>
      <c r="H51" s="27" t="n">
        <v>1</v>
      </c>
    </row>
    <row r="52" customFormat="false" ht="15" hidden="false" customHeight="false" outlineLevel="0" collapsed="false">
      <c r="B52" s="9" t="s">
        <v>162</v>
      </c>
      <c r="D52" s="27" t="n">
        <v>0.25</v>
      </c>
      <c r="E52" s="27" t="n">
        <v>0.5</v>
      </c>
      <c r="F52" s="27" t="n">
        <v>0.75</v>
      </c>
      <c r="G52" s="27" t="n">
        <v>1</v>
      </c>
      <c r="H52" s="27" t="n">
        <v>1</v>
      </c>
    </row>
    <row r="53" customFormat="false" ht="15" hidden="false" customHeight="false" outlineLevel="0" collapsed="false">
      <c r="B53" s="9" t="s">
        <v>163</v>
      </c>
      <c r="D53" s="11" t="n">
        <f aca="false">Drivers!$C$30</f>
        <v>0.1043</v>
      </c>
      <c r="E53" s="11" t="n">
        <f aca="false">Drivers!$C$30</f>
        <v>0.1043</v>
      </c>
      <c r="F53" s="11" t="n">
        <f aca="false">Drivers!$C$30</f>
        <v>0.1043</v>
      </c>
      <c r="G53" s="11" t="n">
        <f aca="false">Drivers!$C$30</f>
        <v>0.1043</v>
      </c>
      <c r="H53" s="21" t="n">
        <v>0.08</v>
      </c>
    </row>
    <row r="54" customFormat="false" ht="15" hidden="false" customHeight="false" outlineLevel="0" collapsed="false">
      <c r="B54" s="9" t="s">
        <v>164</v>
      </c>
      <c r="D54" s="21" t="n">
        <v>-0.01</v>
      </c>
      <c r="E54" s="21" t="n">
        <v>-0.01</v>
      </c>
      <c r="F54" s="21" t="n">
        <v>0</v>
      </c>
      <c r="G54" s="21" t="n">
        <v>0.01</v>
      </c>
      <c r="H54" s="21" t="n">
        <v>0.02</v>
      </c>
    </row>
    <row r="55" customFormat="false" ht="15" hidden="false" customHeight="false" outlineLevel="0" collapsed="false">
      <c r="B55" s="9" t="s">
        <v>165</v>
      </c>
      <c r="D55" s="27" t="n">
        <v>1</v>
      </c>
      <c r="E55" s="27" t="n">
        <v>0.8</v>
      </c>
      <c r="F55" s="27" t="n">
        <v>0.5</v>
      </c>
      <c r="G55" s="27" t="n">
        <v>0.3</v>
      </c>
      <c r="H55" s="27" t="n">
        <v>0.3</v>
      </c>
    </row>
    <row r="56" customFormat="false" ht="15" hidden="false" customHeight="false" outlineLevel="0" collapsed="false">
      <c r="B56" s="3" t="s">
        <v>166</v>
      </c>
      <c r="D56" s="14" t="n">
        <v>0.1</v>
      </c>
      <c r="E56" s="14" t="n">
        <v>0.25</v>
      </c>
      <c r="F56" s="14" t="n">
        <v>0.45</v>
      </c>
      <c r="G56" s="14" t="n">
        <v>0.2</v>
      </c>
      <c r="H56" s="21" t="n">
        <v>0</v>
      </c>
      <c r="I56" s="15" t="s">
        <v>167</v>
      </c>
    </row>
    <row r="57" customFormat="false" ht="15" hidden="false" customHeight="false" outlineLevel="0" collapsed="false">
      <c r="B57" s="9" t="s">
        <v>168</v>
      </c>
      <c r="C57" s="11" t="n">
        <f aca="false">SUM(D56:G56)</f>
        <v>1</v>
      </c>
    </row>
    <row r="59" customFormat="false" ht="15" hidden="false" customHeight="false" outlineLevel="0" collapsed="false">
      <c r="A59" s="3" t="s">
        <v>169</v>
      </c>
    </row>
    <row r="60" customFormat="false" ht="15" hidden="false" customHeight="false" outlineLevel="0" collapsed="false">
      <c r="B60" s="9" t="s">
        <v>170</v>
      </c>
      <c r="D60" s="27" t="n">
        <v>1.85</v>
      </c>
      <c r="E60" s="27" t="n">
        <v>1.7</v>
      </c>
      <c r="F60" s="27" t="n">
        <v>1.55</v>
      </c>
      <c r="G60" s="27" t="n">
        <v>1.45</v>
      </c>
      <c r="H60" s="27" t="n">
        <v>1.38</v>
      </c>
      <c r="I60" s="27" t="n">
        <v>1.3</v>
      </c>
      <c r="K60" s="15" t="s">
        <v>171</v>
      </c>
    </row>
    <row r="61" customFormat="false" ht="15" hidden="false" customHeight="false" outlineLevel="0" collapsed="false">
      <c r="B61" s="9" t="s">
        <v>172</v>
      </c>
      <c r="C61" s="21" t="n">
        <v>-0.02</v>
      </c>
      <c r="D61" s="15"/>
    </row>
    <row r="62" customFormat="false" ht="15" hidden="false" customHeight="false" outlineLevel="0" collapsed="false">
      <c r="B62" s="9" t="s">
        <v>173</v>
      </c>
      <c r="C62" s="27" t="n">
        <v>0.8</v>
      </c>
      <c r="D62" s="15" t="s">
        <v>174</v>
      </c>
    </row>
    <row r="63" customFormat="false" ht="15" hidden="false" customHeight="false" outlineLevel="0" collapsed="false">
      <c r="B63" s="9" t="s">
        <v>175</v>
      </c>
      <c r="C63" s="28" t="n">
        <v>2027</v>
      </c>
      <c r="D63" s="15"/>
    </row>
    <row r="64" customFormat="false" ht="15" hidden="false" customHeight="false" outlineLevel="0" collapsed="false">
      <c r="B64" s="9" t="s">
        <v>176</v>
      </c>
      <c r="C64" s="28" t="n">
        <v>5</v>
      </c>
      <c r="D64" s="15"/>
    </row>
    <row r="65" customFormat="false" ht="15" hidden="false" customHeight="false" outlineLevel="0" collapsed="false">
      <c r="B65" s="9" t="s">
        <v>177</v>
      </c>
      <c r="C65" s="27" t="n">
        <v>1.4</v>
      </c>
      <c r="D65" s="15" t="s">
        <v>178</v>
      </c>
    </row>
    <row r="66" customFormat="false" ht="15" hidden="false" customHeight="false" outlineLevel="0" collapsed="false">
      <c r="B66" s="9" t="s">
        <v>179</v>
      </c>
      <c r="C66" s="28" t="n">
        <v>2027</v>
      </c>
      <c r="D66" s="15"/>
    </row>
    <row r="67" customFormat="false" ht="15" hidden="false" customHeight="false" outlineLevel="0" collapsed="false">
      <c r="B67" s="9" t="s">
        <v>180</v>
      </c>
      <c r="C67" s="28" t="n">
        <v>5</v>
      </c>
      <c r="D67" s="15"/>
    </row>
    <row r="68" customFormat="false" ht="15" hidden="false" customHeight="false" outlineLevel="0" collapsed="false">
      <c r="B68" s="9" t="s">
        <v>181</v>
      </c>
      <c r="C68" s="21" t="n">
        <v>0.7</v>
      </c>
      <c r="D68" s="15"/>
    </row>
    <row r="69" customFormat="false" ht="15" hidden="false" customHeight="false" outlineLevel="0" collapsed="false">
      <c r="B69" s="9" t="s">
        <v>182</v>
      </c>
      <c r="C69" s="21" t="n">
        <v>0.55</v>
      </c>
      <c r="D69" s="15"/>
    </row>
    <row r="70" customFormat="false" ht="15" hidden="false" customHeight="false" outlineLevel="0" collapsed="false">
      <c r="B70" s="9" t="s">
        <v>183</v>
      </c>
      <c r="C70" s="27" t="n">
        <v>0.15</v>
      </c>
      <c r="D70" s="15" t="s">
        <v>184</v>
      </c>
    </row>
    <row r="71" customFormat="false" ht="15" hidden="false" customHeight="false" outlineLevel="0" collapsed="false">
      <c r="B71" s="9" t="s">
        <v>185</v>
      </c>
      <c r="C71" s="27" t="n">
        <v>1.2</v>
      </c>
      <c r="D71" s="15" t="s">
        <v>186</v>
      </c>
    </row>
    <row r="72" customFormat="false" ht="15" hidden="false" customHeight="false" outlineLevel="0" collapsed="false">
      <c r="B72" s="9" t="s">
        <v>187</v>
      </c>
      <c r="C72" s="28" t="n">
        <v>2029</v>
      </c>
      <c r="D72" s="15"/>
    </row>
    <row r="73" customFormat="false" ht="15" hidden="false" customHeight="false" outlineLevel="0" collapsed="false">
      <c r="B73" s="9" t="s">
        <v>188</v>
      </c>
      <c r="C73" s="28" t="n">
        <v>5</v>
      </c>
      <c r="D73" s="15"/>
    </row>
    <row r="74" customFormat="false" ht="15" hidden="false" customHeight="false" outlineLevel="0" collapsed="false">
      <c r="B74" s="9" t="s">
        <v>189</v>
      </c>
      <c r="C74" s="27" t="n">
        <v>0.15</v>
      </c>
      <c r="D74" s="15" t="s">
        <v>190</v>
      </c>
    </row>
    <row r="75" customFormat="false" ht="15" hidden="false" customHeight="false" outlineLevel="0" collapsed="false">
      <c r="B75" s="9" t="s">
        <v>191</v>
      </c>
      <c r="D75" s="21" t="n">
        <v>0.64</v>
      </c>
      <c r="E75" s="21" t="n">
        <v>0.68</v>
      </c>
      <c r="F75" s="21" t="n">
        <v>0.71</v>
      </c>
      <c r="G75" s="21" t="n">
        <v>0.73</v>
      </c>
      <c r="H75" s="21" t="n">
        <v>0.74</v>
      </c>
      <c r="I75" s="21" t="n">
        <v>0.75</v>
      </c>
      <c r="K75" s="15" t="s">
        <v>192</v>
      </c>
    </row>
    <row r="76" customFormat="false" ht="15" hidden="false" customHeight="false" outlineLevel="0" collapsed="false">
      <c r="B76" s="9" t="s">
        <v>193</v>
      </c>
      <c r="C76" s="21" t="n">
        <v>0.025</v>
      </c>
      <c r="D76" s="15" t="s">
        <v>194</v>
      </c>
    </row>
    <row r="77" customFormat="false" ht="15" hidden="false" customHeight="false" outlineLevel="0" collapsed="false">
      <c r="B77" s="9" t="s">
        <v>195</v>
      </c>
      <c r="C77" s="27" t="n">
        <v>0.75</v>
      </c>
      <c r="D77" s="15"/>
    </row>
    <row r="78" customFormat="false" ht="15" hidden="false" customHeight="false" outlineLevel="0" collapsed="false">
      <c r="B78" s="9" t="s">
        <v>196</v>
      </c>
      <c r="C78" s="21" t="n">
        <v>0.08</v>
      </c>
      <c r="D78" s="15"/>
    </row>
    <row r="79" customFormat="false" ht="15" hidden="false" customHeight="false" outlineLevel="0" collapsed="false">
      <c r="B79" s="9" t="s">
        <v>197</v>
      </c>
      <c r="C79" s="21" t="n">
        <v>0.14</v>
      </c>
      <c r="D79" s="15"/>
    </row>
    <row r="80" customFormat="false" ht="15" hidden="false" customHeight="false" outlineLevel="0" collapsed="false">
      <c r="B80" s="9" t="s">
        <v>198</v>
      </c>
      <c r="C80" s="27" t="n">
        <v>0.4</v>
      </c>
      <c r="D80" s="15"/>
    </row>
    <row r="81" customFormat="false" ht="15" hidden="false" customHeight="false" outlineLevel="0" collapsed="false">
      <c r="B81" s="9" t="s">
        <v>199</v>
      </c>
      <c r="D81" s="27" t="n">
        <v>0.75</v>
      </c>
      <c r="E81" s="27" t="n">
        <v>0.62</v>
      </c>
      <c r="F81" s="27" t="n">
        <v>0.55</v>
      </c>
      <c r="G81" s="27" t="n">
        <v>0.5</v>
      </c>
      <c r="H81" s="27" t="n">
        <v>0.48</v>
      </c>
      <c r="I81" s="27" t="n">
        <v>0.46</v>
      </c>
      <c r="K81" s="15" t="s">
        <v>200</v>
      </c>
    </row>
    <row r="82" customFormat="false" ht="15" hidden="false" customHeight="false" outlineLevel="0" collapsed="false">
      <c r="B82" s="9" t="s">
        <v>201</v>
      </c>
      <c r="C82" s="21" t="n">
        <v>0.1</v>
      </c>
      <c r="D82" s="15"/>
    </row>
    <row r="84" customFormat="false" ht="15" hidden="false" customHeight="false" outlineLevel="0" collapsed="false">
      <c r="A84" s="3" t="s">
        <v>202</v>
      </c>
    </row>
    <row r="85" customFormat="false" ht="15" hidden="false" customHeight="false" outlineLevel="0" collapsed="false">
      <c r="B85" s="9" t="s">
        <v>203</v>
      </c>
      <c r="C85" s="21" t="n">
        <v>0.5</v>
      </c>
      <c r="D85" s="15" t="s">
        <v>204</v>
      </c>
    </row>
    <row r="86" customFormat="false" ht="15" hidden="false" customHeight="false" outlineLevel="0" collapsed="false">
      <c r="B86" s="9" t="s">
        <v>205</v>
      </c>
      <c r="D86" s="21" t="n">
        <v>0.08</v>
      </c>
      <c r="E86" s="21" t="n">
        <v>0.25</v>
      </c>
      <c r="F86" s="21" t="n">
        <v>0.45</v>
      </c>
      <c r="G86" s="21" t="n">
        <v>0.65</v>
      </c>
      <c r="H86" s="21" t="n">
        <v>0.82</v>
      </c>
      <c r="I86" s="21" t="n">
        <v>0.93</v>
      </c>
      <c r="J86" s="21" t="n">
        <v>1</v>
      </c>
      <c r="L86" s="15"/>
    </row>
    <row r="87" customFormat="false" ht="15" hidden="false" customHeight="false" outlineLevel="0" collapsed="false">
      <c r="B87" s="9" t="s">
        <v>206</v>
      </c>
      <c r="C87" s="28" t="n">
        <v>12</v>
      </c>
      <c r="D87" s="15"/>
    </row>
    <row r="88" customFormat="false" ht="15" hidden="false" customHeight="false" outlineLevel="0" collapsed="false">
      <c r="B88" s="9" t="s">
        <v>207</v>
      </c>
      <c r="C88" s="21" t="n">
        <v>0.8</v>
      </c>
      <c r="D88" s="15"/>
    </row>
    <row r="89" customFormat="false" ht="15" hidden="false" customHeight="false" outlineLevel="0" collapsed="false">
      <c r="B89" s="9" t="s">
        <v>208</v>
      </c>
      <c r="C89" s="21" t="n">
        <v>0.97</v>
      </c>
      <c r="D89" s="15"/>
    </row>
    <row r="90" customFormat="false" ht="15" hidden="false" customHeight="false" outlineLevel="0" collapsed="false">
      <c r="B90" s="9" t="s">
        <v>209</v>
      </c>
      <c r="C90" s="21" t="n">
        <v>0.2</v>
      </c>
      <c r="D90" s="15" t="s">
        <v>210</v>
      </c>
    </row>
    <row r="91" customFormat="false" ht="15" hidden="false" customHeight="false" outlineLevel="0" collapsed="false">
      <c r="B91" s="9" t="s">
        <v>211</v>
      </c>
      <c r="C91" s="28" t="n">
        <v>5</v>
      </c>
      <c r="D91" s="15"/>
    </row>
    <row r="92" customFormat="false" ht="15" hidden="false" customHeight="false" outlineLevel="0" collapsed="false">
      <c r="B92" s="9" t="s">
        <v>212</v>
      </c>
      <c r="D92" s="27" t="n">
        <v>0.4</v>
      </c>
      <c r="E92" s="27" t="n">
        <v>0.4</v>
      </c>
      <c r="F92" s="27" t="n">
        <v>0.4</v>
      </c>
      <c r="G92" s="27" t="n">
        <v>0.4</v>
      </c>
      <c r="H92" s="27" t="n">
        <v>0.35</v>
      </c>
      <c r="I92" s="27" t="n">
        <v>0.35</v>
      </c>
      <c r="J92" s="27" t="n">
        <v>0.3</v>
      </c>
      <c r="K92" s="27" t="n">
        <v>0.25</v>
      </c>
      <c r="M92" s="15" t="s">
        <v>213</v>
      </c>
    </row>
    <row r="93" customFormat="false" ht="15" hidden="false" customHeight="false" outlineLevel="0" collapsed="false">
      <c r="B93" s="9" t="s">
        <v>214</v>
      </c>
      <c r="C93" s="27" t="n">
        <v>0.2</v>
      </c>
      <c r="D93" s="15"/>
    </row>
    <row r="94" customFormat="false" ht="15" hidden="false" customHeight="false" outlineLevel="0" collapsed="false">
      <c r="A94" s="8"/>
      <c r="B94" s="8" t="s">
        <v>215</v>
      </c>
      <c r="C94" s="8" t="s">
        <v>216</v>
      </c>
      <c r="D94" s="8" t="s">
        <v>217</v>
      </c>
      <c r="E94" s="8" t="s">
        <v>218</v>
      </c>
      <c r="F94" s="8" t="s">
        <v>219</v>
      </c>
      <c r="G94" s="8" t="s">
        <v>220</v>
      </c>
    </row>
    <row r="95" customFormat="false" ht="15" hidden="false" customHeight="false" outlineLevel="0" collapsed="false">
      <c r="B95" s="9" t="s">
        <v>221</v>
      </c>
      <c r="C95" s="9" t="s">
        <v>222</v>
      </c>
      <c r="D95" s="28" t="n">
        <v>2027</v>
      </c>
      <c r="E95" s="19" t="n">
        <v>2.8</v>
      </c>
      <c r="F95" s="14" t="n">
        <v>0.88</v>
      </c>
      <c r="G95" s="15" t="s">
        <v>223</v>
      </c>
    </row>
    <row r="96" customFormat="false" ht="15" hidden="false" customHeight="false" outlineLevel="0" collapsed="false">
      <c r="B96" s="9" t="s">
        <v>224</v>
      </c>
      <c r="C96" s="9" t="s">
        <v>225</v>
      </c>
      <c r="D96" s="28" t="n">
        <v>2031</v>
      </c>
      <c r="E96" s="19" t="n">
        <v>4</v>
      </c>
      <c r="F96" s="14" t="n">
        <v>0.45</v>
      </c>
      <c r="G96" s="15" t="s">
        <v>226</v>
      </c>
    </row>
    <row r="97" customFormat="false" ht="15" hidden="false" customHeight="false" outlineLevel="0" collapsed="false">
      <c r="B97" s="9" t="s">
        <v>227</v>
      </c>
      <c r="C97" s="9" t="s">
        <v>225</v>
      </c>
      <c r="D97" s="28" t="n">
        <v>2034</v>
      </c>
      <c r="E97" s="19" t="n">
        <v>1.5</v>
      </c>
      <c r="F97" s="14" t="n">
        <v>0.4</v>
      </c>
      <c r="G97" s="15" t="s">
        <v>228</v>
      </c>
    </row>
    <row r="98" customFormat="false" ht="15" hidden="false" customHeight="false" outlineLevel="0" collapsed="false">
      <c r="B98" s="9" t="s">
        <v>229</v>
      </c>
      <c r="C98" s="9" t="s">
        <v>225</v>
      </c>
      <c r="D98" s="28" t="n">
        <v>2035</v>
      </c>
      <c r="E98" s="19" t="n">
        <v>2.5</v>
      </c>
      <c r="F98" s="14" t="n">
        <v>0.35</v>
      </c>
      <c r="G98" s="15" t="s">
        <v>230</v>
      </c>
    </row>
    <row r="99" customFormat="false" ht="15" hidden="false" customHeight="false" outlineLevel="0" collapsed="false">
      <c r="B99" s="9" t="s">
        <v>231</v>
      </c>
      <c r="C99" s="9" t="s">
        <v>232</v>
      </c>
      <c r="D99" s="28" t="n">
        <v>2031</v>
      </c>
      <c r="E99" s="19" t="n">
        <v>1.2</v>
      </c>
      <c r="F99" s="14" t="n">
        <v>0.25</v>
      </c>
      <c r="G99" s="15" t="s">
        <v>233</v>
      </c>
    </row>
    <row r="100" customFormat="false" ht="15" hidden="false" customHeight="false" outlineLevel="0" collapsed="false">
      <c r="B100" s="9" t="s">
        <v>234</v>
      </c>
      <c r="C100" s="9" t="s">
        <v>232</v>
      </c>
      <c r="D100" s="28" t="n">
        <v>2033</v>
      </c>
      <c r="E100" s="19" t="n">
        <v>1</v>
      </c>
      <c r="F100" s="14" t="n">
        <v>0.2</v>
      </c>
      <c r="G100" s="15" t="s">
        <v>235</v>
      </c>
    </row>
    <row r="101" customFormat="false" ht="15" hidden="false" customHeight="false" outlineLevel="0" collapsed="false">
      <c r="B101" s="9" t="s">
        <v>236</v>
      </c>
      <c r="C101" s="9" t="s">
        <v>232</v>
      </c>
      <c r="D101" s="28" t="n">
        <v>2034</v>
      </c>
      <c r="E101" s="19" t="n">
        <v>1</v>
      </c>
      <c r="F101" s="14" t="n">
        <v>0.15</v>
      </c>
      <c r="G101" s="15" t="s">
        <v>237</v>
      </c>
    </row>
    <row r="102" customFormat="false" ht="15" hidden="false" customHeight="false" outlineLevel="0" collapsed="false">
      <c r="B102" s="9" t="s">
        <v>238</v>
      </c>
      <c r="C102" s="9" t="s">
        <v>232</v>
      </c>
      <c r="D102" s="28" t="n">
        <v>2031</v>
      </c>
      <c r="E102" s="19" t="n">
        <v>0.8</v>
      </c>
      <c r="F102" s="14" t="n">
        <v>0.2</v>
      </c>
      <c r="G102" s="15" t="s">
        <v>239</v>
      </c>
    </row>
    <row r="103" customFormat="false" ht="15" hidden="false" customHeight="false" outlineLevel="0" collapsed="false">
      <c r="B103" s="9" t="s">
        <v>240</v>
      </c>
      <c r="C103" s="9" t="s">
        <v>232</v>
      </c>
      <c r="D103" s="28" t="n">
        <v>2032</v>
      </c>
      <c r="E103" s="19" t="n">
        <v>1.2</v>
      </c>
      <c r="F103" s="14" t="n">
        <v>0.15</v>
      </c>
      <c r="G103" s="15" t="s">
        <v>241</v>
      </c>
    </row>
    <row r="104" customFormat="false" ht="15" hidden="false" customHeight="false" outlineLevel="0" collapsed="false">
      <c r="B104" s="9" t="s">
        <v>242</v>
      </c>
      <c r="C104" s="9" t="s">
        <v>243</v>
      </c>
      <c r="D104" s="28" t="n">
        <v>2035</v>
      </c>
      <c r="E104" s="19" t="n">
        <v>6</v>
      </c>
      <c r="F104" s="14" t="n">
        <v>0.1</v>
      </c>
      <c r="G104" s="15" t="s">
        <v>244</v>
      </c>
    </row>
    <row r="106" customFormat="false" ht="15" hidden="false" customHeight="false" outlineLevel="0" collapsed="false">
      <c r="A106" s="3" t="s">
        <v>245</v>
      </c>
    </row>
    <row r="107" customFormat="false" ht="15" hidden="false" customHeight="false" outlineLevel="0" collapsed="false">
      <c r="B107" s="9" t="s">
        <v>246</v>
      </c>
      <c r="C107" s="21" t="n">
        <v>0.1</v>
      </c>
      <c r="D107" s="15" t="s">
        <v>247</v>
      </c>
    </row>
    <row r="108" customFormat="false" ht="15" hidden="false" customHeight="false" outlineLevel="0" collapsed="false">
      <c r="B108" s="9" t="s">
        <v>248</v>
      </c>
      <c r="C108" s="27" t="n">
        <v>2</v>
      </c>
      <c r="D108" s="15"/>
    </row>
    <row r="109" customFormat="false" ht="15" hidden="false" customHeight="false" outlineLevel="0" collapsed="false">
      <c r="B109" s="9" t="s">
        <v>249</v>
      </c>
      <c r="C109" s="28" t="n">
        <v>2031</v>
      </c>
      <c r="D109" s="15"/>
    </row>
    <row r="110" customFormat="false" ht="15" hidden="false" customHeight="false" outlineLevel="0" collapsed="false">
      <c r="B110" s="9" t="s">
        <v>250</v>
      </c>
      <c r="C110" s="21" t="n">
        <v>0.45</v>
      </c>
      <c r="D110" s="15"/>
    </row>
    <row r="111" customFormat="false" ht="15" hidden="false" customHeight="false" outlineLevel="0" collapsed="false">
      <c r="B111" s="9" t="s">
        <v>251</v>
      </c>
      <c r="D111" s="27" t="n">
        <v>0.12</v>
      </c>
      <c r="E111" s="27" t="n">
        <v>0.15</v>
      </c>
      <c r="F111" s="27" t="n">
        <v>0.15</v>
      </c>
      <c r="G111" s="27" t="n">
        <v>0.1</v>
      </c>
      <c r="H111" s="27" t="n">
        <v>0.08</v>
      </c>
      <c r="J111" s="15"/>
    </row>
    <row r="112" customFormat="false" ht="15" hidden="false" customHeight="false" outlineLevel="0" collapsed="false">
      <c r="B112" s="9" t="s">
        <v>252</v>
      </c>
      <c r="C112" s="27" t="n">
        <v>0.35</v>
      </c>
      <c r="D112" s="15"/>
    </row>
    <row r="113" customFormat="false" ht="15" hidden="false" customHeight="false" outlineLevel="0" collapsed="false">
      <c r="B113" s="9" t="s">
        <v>253</v>
      </c>
      <c r="C113" s="21" t="n">
        <v>0.35</v>
      </c>
      <c r="D113" s="15"/>
    </row>
    <row r="114" customFormat="false" ht="15" hidden="false" customHeight="false" outlineLevel="0" collapsed="false">
      <c r="B114" s="9" t="s">
        <v>254</v>
      </c>
      <c r="C114" s="21" t="n">
        <v>0.55</v>
      </c>
      <c r="D114" s="15" t="s">
        <v>255</v>
      </c>
    </row>
    <row r="115" customFormat="false" ht="15" hidden="false" customHeight="false" outlineLevel="0" collapsed="false">
      <c r="B115" s="9" t="s">
        <v>256</v>
      </c>
      <c r="C115" s="27" t="n">
        <v>0.4</v>
      </c>
      <c r="D115" s="15"/>
    </row>
    <row r="116" customFormat="false" ht="15" hidden="false" customHeight="false" outlineLevel="0" collapsed="false">
      <c r="B116" s="9" t="s">
        <v>257</v>
      </c>
      <c r="C116" s="28" t="n">
        <v>2028</v>
      </c>
      <c r="D116" s="15"/>
    </row>
    <row r="117" customFormat="false" ht="15" hidden="false" customHeight="false" outlineLevel="0" collapsed="false">
      <c r="B117" s="9" t="s">
        <v>258</v>
      </c>
      <c r="C117" s="21" t="n">
        <v>0.15</v>
      </c>
      <c r="D117" s="15"/>
    </row>
    <row r="118" customFormat="false" ht="15" hidden="false" customHeight="false" outlineLevel="0" collapsed="false">
      <c r="B118" s="9" t="s">
        <v>259</v>
      </c>
      <c r="C118" s="27" t="n">
        <v>0.11</v>
      </c>
      <c r="D118" s="15"/>
    </row>
    <row r="119" customFormat="false" ht="15" hidden="false" customHeight="false" outlineLevel="0" collapsed="false">
      <c r="B119" s="9" t="s">
        <v>260</v>
      </c>
      <c r="C119" s="27" t="n">
        <v>0.1</v>
      </c>
      <c r="D119" s="15"/>
    </row>
    <row r="120" customFormat="false" ht="15" hidden="false" customHeight="false" outlineLevel="0" collapsed="false">
      <c r="B120" s="9" t="s">
        <v>261</v>
      </c>
      <c r="C120" s="21" t="n">
        <v>0.2</v>
      </c>
      <c r="D120" s="15" t="s">
        <v>262</v>
      </c>
    </row>
    <row r="121" customFormat="false" ht="15" hidden="false" customHeight="false" outlineLevel="0" collapsed="false">
      <c r="B121" s="9" t="s">
        <v>263</v>
      </c>
      <c r="C121" s="27" t="n">
        <v>0.4</v>
      </c>
      <c r="D121" s="15"/>
    </row>
    <row r="122" customFormat="false" ht="15" hidden="false" customHeight="false" outlineLevel="0" collapsed="false">
      <c r="B122" s="9" t="s">
        <v>264</v>
      </c>
      <c r="C122" s="28" t="n">
        <v>2031</v>
      </c>
      <c r="D122" s="15"/>
    </row>
    <row r="123" customFormat="false" ht="15" hidden="false" customHeight="false" outlineLevel="0" collapsed="false">
      <c r="B123" s="9" t="s">
        <v>265</v>
      </c>
      <c r="C123" s="21" t="n">
        <v>0.5</v>
      </c>
      <c r="D123" s="15"/>
    </row>
    <row r="124" customFormat="false" ht="15" hidden="false" customHeight="false" outlineLevel="0" collapsed="false">
      <c r="B124" s="9" t="s">
        <v>266</v>
      </c>
      <c r="C124" s="27" t="n">
        <v>0.08</v>
      </c>
      <c r="D124" s="15"/>
    </row>
    <row r="125" customFormat="false" ht="15" hidden="false" customHeight="false" outlineLevel="0" collapsed="false">
      <c r="B125" s="9" t="s">
        <v>267</v>
      </c>
      <c r="C125" s="21" t="n">
        <v>0.1</v>
      </c>
      <c r="D125" s="15" t="s">
        <v>268</v>
      </c>
    </row>
    <row r="126" customFormat="false" ht="15" hidden="false" customHeight="false" outlineLevel="0" collapsed="false">
      <c r="B126" s="9" t="s">
        <v>269</v>
      </c>
      <c r="C126" s="27" t="n">
        <v>0.8</v>
      </c>
      <c r="D126" s="15"/>
    </row>
    <row r="127" customFormat="false" ht="15" hidden="false" customHeight="false" outlineLevel="0" collapsed="false">
      <c r="B127" s="9" t="s">
        <v>270</v>
      </c>
      <c r="C127" s="28" t="n">
        <v>2031</v>
      </c>
      <c r="D127" s="15"/>
    </row>
    <row r="128" customFormat="false" ht="15" hidden="false" customHeight="false" outlineLevel="0" collapsed="false">
      <c r="B128" s="9" t="s">
        <v>271</v>
      </c>
      <c r="C128" s="21" t="n">
        <v>0.1</v>
      </c>
      <c r="D128" s="15"/>
    </row>
    <row r="129" customFormat="false" ht="15" hidden="false" customHeight="false" outlineLevel="0" collapsed="false">
      <c r="B129" s="9" t="s">
        <v>272</v>
      </c>
      <c r="C129" s="27" t="n">
        <v>0.42</v>
      </c>
      <c r="D129" s="15"/>
    </row>
    <row r="130" customFormat="false" ht="15" hidden="false" customHeight="false" outlineLevel="0" collapsed="false">
      <c r="B130" s="9" t="s">
        <v>273</v>
      </c>
      <c r="C130" s="21" t="n">
        <v>0.02</v>
      </c>
      <c r="D130" s="15"/>
    </row>
    <row r="131" customFormat="false" ht="15" hidden="false" customHeight="false" outlineLevel="0" collapsed="false">
      <c r="B131" s="9" t="s">
        <v>274</v>
      </c>
      <c r="D131" s="27" t="n">
        <v>1.2</v>
      </c>
      <c r="E131" s="27" t="n">
        <v>1.15</v>
      </c>
      <c r="F131" s="27" t="n">
        <v>1.12</v>
      </c>
      <c r="G131" s="27" t="n">
        <v>1.1</v>
      </c>
      <c r="H131" s="27" t="n">
        <v>1.1</v>
      </c>
      <c r="I131" s="27" t="n">
        <v>1.1</v>
      </c>
      <c r="K131" s="15" t="s">
        <v>275</v>
      </c>
    </row>
    <row r="132" customFormat="false" ht="15" hidden="false" customHeight="false" outlineLevel="0" collapsed="false">
      <c r="B132" s="9" t="s">
        <v>276</v>
      </c>
      <c r="C132" s="21" t="n">
        <v>0.02</v>
      </c>
      <c r="D132" s="15"/>
    </row>
    <row r="133" customFormat="false" ht="15" hidden="false" customHeight="false" outlineLevel="0" collapsed="false">
      <c r="B133" s="9" t="s">
        <v>277</v>
      </c>
      <c r="C133" s="21" t="n">
        <v>0.35</v>
      </c>
      <c r="D133" s="15"/>
    </row>
    <row r="134" customFormat="false" ht="15" hidden="false" customHeight="false" outlineLevel="0" collapsed="false">
      <c r="B134" s="9" t="s">
        <v>278</v>
      </c>
      <c r="D134" s="27" t="n">
        <v>0.3</v>
      </c>
      <c r="E134" s="27" t="n">
        <v>0.25</v>
      </c>
      <c r="F134" s="27" t="n">
        <v>0.25</v>
      </c>
      <c r="G134" s="27" t="n">
        <v>0.25</v>
      </c>
      <c r="H134" s="27" t="n">
        <v>0.25</v>
      </c>
      <c r="I134" s="27" t="n">
        <v>0.25</v>
      </c>
      <c r="K134" s="15"/>
    </row>
    <row r="135" customFormat="false" ht="15" hidden="false" customHeight="false" outlineLevel="0" collapsed="false">
      <c r="B135" s="9" t="s">
        <v>279</v>
      </c>
      <c r="C135" s="21" t="n">
        <v>0.04</v>
      </c>
      <c r="D135" s="15"/>
    </row>
    <row r="136" customFormat="false" ht="15" hidden="false" customHeight="false" outlineLevel="0" collapsed="false">
      <c r="B136" s="9" t="s">
        <v>280</v>
      </c>
      <c r="C136" s="27" t="n">
        <v>0.23</v>
      </c>
      <c r="D136" s="15"/>
    </row>
    <row r="137" customFormat="false" ht="15" hidden="false" customHeight="false" outlineLevel="0" collapsed="false">
      <c r="B137" s="9" t="s">
        <v>281</v>
      </c>
      <c r="C137" s="27" t="n">
        <v>2.06</v>
      </c>
      <c r="D137" s="15" t="s">
        <v>282</v>
      </c>
    </row>
    <row r="138" customFormat="false" ht="15" hidden="false" customHeight="false" outlineLevel="0" collapsed="false">
      <c r="B138" s="9" t="s">
        <v>283</v>
      </c>
      <c r="C138" s="21" t="n">
        <v>0.3</v>
      </c>
      <c r="D138" s="15"/>
    </row>
    <row r="139" customFormat="false" ht="15" hidden="false" customHeight="false" outlineLevel="0" collapsed="false">
      <c r="B139" s="9" t="s">
        <v>284</v>
      </c>
      <c r="C139" s="27" t="n">
        <v>1.5</v>
      </c>
      <c r="D139" s="15"/>
    </row>
    <row r="141" customFormat="false" ht="15" hidden="false" customHeight="false" outlineLevel="0" collapsed="false">
      <c r="B141" s="3" t="s">
        <v>285</v>
      </c>
      <c r="C141" s="13" t="n">
        <f aca="false">(Drivers!$C$6+Drivers!$C$137*Drivers!$C$138-Drivers!$C$139-Drivers!$C$7-Drivers!$C$8-Drivers!$C$12-Drivers!$C$13*(Drivers!$C$14+Drivers!$C$15*Drivers!$C$16)*(1+Drivers!$C$30)^(-Drivers!$C$17))*1000/Drivers!$C$19</f>
        <v>6.90160125596957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40"/>
  </cols>
  <sheetData>
    <row r="1" customFormat="false" ht="17.35" hidden="false" customHeight="false" outlineLevel="0" collapsed="false">
      <c r="A1" s="1" t="s">
        <v>286</v>
      </c>
    </row>
    <row r="3" customFormat="false" ht="15" hidden="false" customHeight="false" outlineLevel="0" collapsed="false">
      <c r="A3" s="8" t="s">
        <v>287</v>
      </c>
      <c r="B3" s="8" t="s">
        <v>288</v>
      </c>
      <c r="C3" s="8" t="s">
        <v>289</v>
      </c>
      <c r="D3" s="8" t="s">
        <v>148</v>
      </c>
    </row>
    <row r="4" customFormat="false" ht="15" hidden="false" customHeight="false" outlineLevel="0" collapsed="false">
      <c r="A4" s="9" t="s">
        <v>290</v>
      </c>
      <c r="B4" s="24" t="n">
        <f aca="false">1*(SUMPRODUCT(M_Base!C52:U52,M_Base!C92:U92)+M_Base!$C$100*M_Base!U52/M_Base!U90)</f>
        <v>13.7736078208175</v>
      </c>
      <c r="C4" s="13" t="n">
        <f aca="false">B4*1000/Drivers!$C$19</f>
        <v>34.4943847253131</v>
      </c>
      <c r="D4" s="15" t="s">
        <v>291</v>
      </c>
    </row>
    <row r="5" customFormat="false" ht="15" hidden="false" customHeight="false" outlineLevel="0" collapsed="false">
      <c r="A5" s="9" t="s">
        <v>292</v>
      </c>
      <c r="B5" s="24" t="n">
        <f aca="false">1*(SUMPRODUCT(M_Base!C68:U68,M_Base!C92:U92)+M_Base!$C$100*M_Base!U68/M_Base!U90)</f>
        <v>6.64179224940642</v>
      </c>
      <c r="C5" s="13" t="n">
        <f aca="false">B5*1000/Drivers!$C$19</f>
        <v>16.6335894049748</v>
      </c>
      <c r="D5" s="15" t="s">
        <v>293</v>
      </c>
    </row>
    <row r="6" customFormat="false" ht="15" hidden="false" customHeight="false" outlineLevel="0" collapsed="false">
      <c r="A6" s="9" t="s">
        <v>294</v>
      </c>
      <c r="B6" s="24" t="n">
        <f aca="false">1*(SUMPRODUCT(M_Base!C72:U72,M_Base!C92:U92)+M_Base!$C$100*M_Base!U72/M_Base!U90)</f>
        <v>-0.191040882232341</v>
      </c>
      <c r="C6" s="13" t="n">
        <f aca="false">B6*1000/Drivers!$C$19</f>
        <v>-0.478439474661509</v>
      </c>
      <c r="D6" s="15" t="s">
        <v>295</v>
      </c>
    </row>
    <row r="7" customFormat="false" ht="15" hidden="false" customHeight="false" outlineLevel="0" collapsed="false">
      <c r="A7" s="9" t="s">
        <v>296</v>
      </c>
      <c r="B7" s="24" t="n">
        <f aca="false">1*(SUMPRODUCT(M_Base!C76:U76,M_Base!C92:U92)+M_Base!$C$100*M_Base!U76/M_Base!U90)</f>
        <v>0.443614612449392</v>
      </c>
      <c r="C7" s="13" t="n">
        <f aca="false">B7*1000/Drivers!$C$19</f>
        <v>1.11098074743148</v>
      </c>
      <c r="D7" s="15" t="s">
        <v>297</v>
      </c>
    </row>
    <row r="8" customFormat="false" ht="15" hidden="false" customHeight="false" outlineLevel="0" collapsed="false">
      <c r="A8" s="9" t="s">
        <v>298</v>
      </c>
      <c r="B8" s="24" t="n">
        <f aca="false">-1*(SUMPRODUCT(M_Base!C78:U78,M_Base!C92:U92)+M_Base!$C$100*M_Base!U78/M_Base!U90)</f>
        <v>-4.82948728475297</v>
      </c>
      <c r="C8" s="13" t="n">
        <f aca="false">B8*1000/Drivers!$C$19</f>
        <v>-12.0948842593363</v>
      </c>
      <c r="D8" s="15"/>
    </row>
    <row r="9" customFormat="false" ht="15" hidden="false" customHeight="false" outlineLevel="0" collapsed="false">
      <c r="A9" s="9" t="s">
        <v>299</v>
      </c>
      <c r="B9" s="24" t="n">
        <f aca="false">-1*(SUMPRODUCT(M_Base!C80:U80,M_Base!C92:U92)+M_Base!$C$100*M_Base!U80/M_Base!U90)</f>
        <v>-11.8642451734736</v>
      </c>
      <c r="C9" s="13" t="n">
        <f aca="false">B9*1000/Drivers!$C$19</f>
        <v>-29.7126100011862</v>
      </c>
      <c r="D9" s="15" t="s">
        <v>300</v>
      </c>
    </row>
    <row r="10" customFormat="false" ht="15" hidden="false" customHeight="false" outlineLevel="0" collapsed="false">
      <c r="A10" s="9" t="s">
        <v>301</v>
      </c>
      <c r="B10" s="24" t="n">
        <f aca="false">-1*(SUMPRODUCT(M_Base!C88:U88,M_Base!C92:U92)+M_Base!$C$100*M_Base!U88/M_Base!U90)</f>
        <v>-0.292276453286539</v>
      </c>
      <c r="C10" s="13" t="n">
        <f aca="false">B10*1000/Drivers!$C$19</f>
        <v>-0.731972084363984</v>
      </c>
      <c r="D10" s="15"/>
    </row>
    <row r="11" customFormat="false" ht="15" hidden="false" customHeight="false" outlineLevel="0" collapsed="false">
      <c r="A11" s="9" t="s">
        <v>302</v>
      </c>
      <c r="B11" s="24" t="n">
        <f aca="false">-(SUMPRODUCT(M_Base!C82:U82,M_Base!C92:U92)-SUMPRODUCT(M_Base!C83:U83,M_Base!C92:U92)+SUMPRODUCT(M_Base!C84:U84,M_Base!C92:U92))-M_Base!$C$100*(M_Base!U82-M_Base!U83+M_Base!U84)/M_Base!U90</f>
        <v>-0.732685551531099</v>
      </c>
      <c r="C11" s="13" t="n">
        <f aca="false">B11*1000/Drivers!$C$19</f>
        <v>-1.8349249975735</v>
      </c>
    </row>
    <row r="12" customFormat="false" ht="15" hidden="false" customHeight="false" outlineLevel="0" collapsed="false">
      <c r="A12" s="9" t="s">
        <v>303</v>
      </c>
      <c r="B12" s="22" t="n">
        <f aca="false">M_Base!$C$97</f>
        <v>-0.454330557454128</v>
      </c>
      <c r="C12" s="13" t="n">
        <f aca="false">B12*1000/Drivers!$C$19</f>
        <v>-1.1378175743905</v>
      </c>
    </row>
    <row r="13" customFormat="false" ht="15" hidden="false" customHeight="false" outlineLevel="0" collapsed="false">
      <c r="A13" s="9" t="s">
        <v>304</v>
      </c>
      <c r="B13" s="22" t="n">
        <f aca="false">M_Base!$C$102</f>
        <v>5.23318942312728</v>
      </c>
      <c r="C13" s="13" t="n">
        <f aca="false">B13*1000/Drivers!$C$19</f>
        <v>13.1059088983904</v>
      </c>
    </row>
    <row r="14" customFormat="false" ht="15" hidden="false" customHeight="false" outlineLevel="0" collapsed="false">
      <c r="A14" s="3" t="s">
        <v>305</v>
      </c>
      <c r="B14" s="29" t="n">
        <f aca="false">SUM(B4:B13)</f>
        <v>7.72813820306988</v>
      </c>
      <c r="C14" s="13" t="n">
        <f aca="false">B14*1000/Drivers!$C$19</f>
        <v>19.3542153845978</v>
      </c>
      <c r="D14" s="9" t="s">
        <v>306</v>
      </c>
      <c r="E14" s="24" t="n">
        <f aca="false">B14-M_Base!$C$103</f>
        <v>0</v>
      </c>
    </row>
    <row r="15" customFormat="false" ht="15" hidden="false" customHeight="false" outlineLevel="0" collapsed="false">
      <c r="A15" s="9" t="s">
        <v>307</v>
      </c>
      <c r="B15" s="22" t="n">
        <f aca="false">Drivers!$C$6</f>
        <v>8.04</v>
      </c>
      <c r="C15" s="13" t="n">
        <f aca="false">B15*1000/Drivers!$C$19</f>
        <v>20.1352366641623</v>
      </c>
    </row>
    <row r="16" customFormat="false" ht="15" hidden="false" customHeight="false" outlineLevel="0" collapsed="false">
      <c r="A16" s="9" t="s">
        <v>308</v>
      </c>
      <c r="B16" s="22" t="n">
        <f aca="false">-Drivers!$C$7</f>
        <v>-0.6</v>
      </c>
      <c r="C16" s="13" t="n">
        <f aca="false">B16*1000/Drivers!$C$19</f>
        <v>-1.50262960180316</v>
      </c>
    </row>
    <row r="17" customFormat="false" ht="15" hidden="false" customHeight="false" outlineLevel="0" collapsed="false">
      <c r="A17" s="9" t="s">
        <v>309</v>
      </c>
      <c r="B17" s="22" t="n">
        <f aca="false">-Drivers!$C$8</f>
        <v>-3</v>
      </c>
      <c r="C17" s="13" t="n">
        <f aca="false">B17*1000/Drivers!$C$19</f>
        <v>-7.51314800901578</v>
      </c>
    </row>
    <row r="18" customFormat="false" ht="15" hidden="false" customHeight="false" outlineLevel="0" collapsed="false">
      <c r="A18" s="9" t="s">
        <v>310</v>
      </c>
      <c r="B18" s="22" t="n">
        <f aca="false">-Drivers!$C$12</f>
        <v>-0.037</v>
      </c>
      <c r="C18" s="13" t="n">
        <f aca="false">B18*1000/Drivers!$C$19</f>
        <v>-0.0926621587778613</v>
      </c>
    </row>
    <row r="19" customFormat="false" ht="15" hidden="false" customHeight="false" outlineLevel="0" collapsed="false">
      <c r="A19" s="9" t="s">
        <v>311</v>
      </c>
      <c r="B19" s="22" t="n">
        <f aca="false">-M_Base!$C$105</f>
        <v>-0.765190618491352</v>
      </c>
      <c r="C19" s="13" t="n">
        <f aca="false">B19*1000/Drivers!$C$19</f>
        <v>-1.91633012394528</v>
      </c>
    </row>
    <row r="20" customFormat="false" ht="15" hidden="false" customHeight="false" outlineLevel="0" collapsed="false">
      <c r="A20" s="9" t="s">
        <v>312</v>
      </c>
      <c r="B20" s="22" t="n">
        <f aca="false">-M_Base!$C$21</f>
        <v>-0.5</v>
      </c>
      <c r="C20" s="13" t="n">
        <f aca="false">B20*1000/Drivers!$C$19</f>
        <v>-1.25219133483596</v>
      </c>
    </row>
    <row r="21" customFormat="false" ht="15" hidden="false" customHeight="false" outlineLevel="0" collapsed="false">
      <c r="A21" s="9" t="s">
        <v>313</v>
      </c>
      <c r="B21" s="22" t="n">
        <f aca="false">Drivers!$C$18</f>
        <v>0.05</v>
      </c>
      <c r="C21" s="13" t="n">
        <f aca="false">B21*1000/Drivers!$C$19</f>
        <v>0.125219133483596</v>
      </c>
    </row>
    <row r="22" customFormat="false" ht="15" hidden="false" customHeight="false" outlineLevel="0" collapsed="false">
      <c r="A22" s="3" t="s">
        <v>314</v>
      </c>
      <c r="B22" s="29" t="n">
        <f aca="false">SUM(B14:B21)</f>
        <v>10.9159475845785</v>
      </c>
      <c r="C22" s="13" t="n">
        <f aca="false">B22*1000/Drivers!$C$19</f>
        <v>27.3377099538656</v>
      </c>
    </row>
    <row r="23" customFormat="false" ht="15" hidden="false" customHeight="false" outlineLevel="0" collapsed="false">
      <c r="A23" s="3" t="s">
        <v>315</v>
      </c>
      <c r="B23" s="30" t="n">
        <f aca="false">M_Base!$C$109</f>
        <v>26.4757399577457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5" topLeftCell="C36" activePane="bottomRight" state="frozen"/>
      <selection pane="topLeft" activeCell="A1" activeCellId="0" sqref="A1"/>
      <selection pane="topRight" activeCell="C1" activeCellId="0" sqref="C1"/>
      <selection pane="bottomLeft" activeCell="A36" activeCellId="0" sqref="A3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6"/>
    <col collapsed="false" customWidth="true" hidden="false" outlineLevel="0" max="21" min="3" style="0" width="9"/>
  </cols>
  <sheetData>
    <row r="1" customFormat="false" ht="17.35" hidden="false" customHeight="false" outlineLevel="0" collapsed="false">
      <c r="A1" s="1" t="s">
        <v>316</v>
      </c>
    </row>
    <row r="2" customFormat="false" ht="15" hidden="false" customHeight="false" outlineLevel="0" collapsed="false">
      <c r="A2" s="3" t="s">
        <v>317</v>
      </c>
      <c r="C2" s="28" t="n">
        <v>1</v>
      </c>
    </row>
    <row r="4" customFormat="false" ht="15" hidden="false" customHeight="false" outlineLevel="0" collapsed="false">
      <c r="A4" s="3" t="s">
        <v>318</v>
      </c>
    </row>
    <row r="5" customFormat="false" ht="15" hidden="false" customHeight="false" outlineLevel="0" collapsed="false">
      <c r="A5" s="9" t="s">
        <v>149</v>
      </c>
      <c r="C5" s="22" t="n">
        <f aca="false">INDEX(Drivers!$D$39:$H$39,$C$2)</f>
        <v>0.75</v>
      </c>
    </row>
    <row r="6" customFormat="false" ht="15" hidden="false" customHeight="false" outlineLevel="0" collapsed="false">
      <c r="A6" s="9" t="s">
        <v>150</v>
      </c>
      <c r="C6" s="22" t="n">
        <f aca="false">INDEX(Drivers!$D$40:$H$40,$C$2)</f>
        <v>0.5</v>
      </c>
    </row>
    <row r="7" customFormat="false" ht="15" hidden="false" customHeight="false" outlineLevel="0" collapsed="false">
      <c r="A7" s="9" t="s">
        <v>151</v>
      </c>
      <c r="C7" s="22" t="n">
        <f aca="false">INDEX(Drivers!$D$41:$H$41,$C$2)</f>
        <v>0.5</v>
      </c>
    </row>
    <row r="8" customFormat="false" ht="15" hidden="false" customHeight="false" outlineLevel="0" collapsed="false">
      <c r="A8" s="9" t="s">
        <v>152</v>
      </c>
      <c r="C8" s="6" t="n">
        <f aca="false">INDEX(Drivers!$D$42:$H$42,$C$2)</f>
        <v>0.15</v>
      </c>
    </row>
    <row r="9" customFormat="false" ht="15" hidden="false" customHeight="false" outlineLevel="0" collapsed="false">
      <c r="A9" s="9" t="s">
        <v>153</v>
      </c>
      <c r="C9" s="6" t="n">
        <f aca="false">INDEX(Drivers!$D$43:$H$43,$C$2)</f>
        <v>-0.04</v>
      </c>
    </row>
    <row r="10" customFormat="false" ht="15" hidden="false" customHeight="false" outlineLevel="0" collapsed="false">
      <c r="A10" s="9" t="s">
        <v>154</v>
      </c>
      <c r="C10" s="6" t="n">
        <f aca="false">INDEX(Drivers!$D$44:$H$44,$C$2)</f>
        <v>0</v>
      </c>
    </row>
    <row r="11" customFormat="false" ht="15" hidden="false" customHeight="false" outlineLevel="0" collapsed="false">
      <c r="A11" s="9" t="s">
        <v>155</v>
      </c>
      <c r="C11" s="22" t="n">
        <f aca="false">INDEX(Drivers!$D$45:$H$45,$C$2)</f>
        <v>2.8</v>
      </c>
    </row>
    <row r="12" customFormat="false" ht="15" hidden="false" customHeight="false" outlineLevel="0" collapsed="false">
      <c r="A12" s="9" t="s">
        <v>156</v>
      </c>
      <c r="C12" s="31" t="n">
        <f aca="false">INDEX(Drivers!$D$46:$H$46,$C$2)</f>
        <v>2027</v>
      </c>
    </row>
    <row r="13" customFormat="false" ht="15" hidden="false" customHeight="false" outlineLevel="0" collapsed="false">
      <c r="A13" s="9" t="s">
        <v>157</v>
      </c>
      <c r="C13" s="22" t="n">
        <f aca="false">INDEX(Drivers!$D$47:$H$47,$C$2)</f>
        <v>0.4</v>
      </c>
    </row>
    <row r="14" customFormat="false" ht="15" hidden="false" customHeight="false" outlineLevel="0" collapsed="false">
      <c r="A14" s="9" t="s">
        <v>158</v>
      </c>
      <c r="C14" s="22" t="n">
        <f aca="false">INDEX(Drivers!$D$48:$H$48,$C$2)</f>
        <v>0.8</v>
      </c>
    </row>
    <row r="15" customFormat="false" ht="15" hidden="false" customHeight="false" outlineLevel="0" collapsed="false">
      <c r="A15" s="9" t="s">
        <v>159</v>
      </c>
      <c r="C15" s="22" t="n">
        <f aca="false">INDEX(Drivers!$D$49:$H$49,$C$2)</f>
        <v>0.8</v>
      </c>
    </row>
    <row r="16" customFormat="false" ht="15" hidden="false" customHeight="false" outlineLevel="0" collapsed="false">
      <c r="A16" s="9" t="s">
        <v>160</v>
      </c>
      <c r="C16" s="6" t="n">
        <f aca="false">INDEX(Drivers!$D$50:$H$50,$C$2)</f>
        <v>0.55</v>
      </c>
    </row>
    <row r="17" customFormat="false" ht="15" hidden="false" customHeight="false" outlineLevel="0" collapsed="false">
      <c r="A17" s="9" t="s">
        <v>161</v>
      </c>
      <c r="C17" s="22" t="n">
        <f aca="false">INDEX(Drivers!$D$51:$H$51,$C$2)</f>
        <v>0.6</v>
      </c>
    </row>
    <row r="18" customFormat="false" ht="15" hidden="false" customHeight="false" outlineLevel="0" collapsed="false">
      <c r="A18" s="9" t="s">
        <v>162</v>
      </c>
      <c r="C18" s="22" t="n">
        <f aca="false">INDEX(Drivers!$D$52:$H$52,$C$2)</f>
        <v>0.25</v>
      </c>
    </row>
    <row r="19" customFormat="false" ht="15" hidden="false" customHeight="false" outlineLevel="0" collapsed="false">
      <c r="A19" s="9" t="s">
        <v>163</v>
      </c>
      <c r="C19" s="6" t="n">
        <f aca="false">INDEX(Drivers!$D$53:$H$53,$C$2)</f>
        <v>0.1043</v>
      </c>
    </row>
    <row r="20" customFormat="false" ht="15" hidden="false" customHeight="false" outlineLevel="0" collapsed="false">
      <c r="A20" s="9" t="s">
        <v>164</v>
      </c>
      <c r="C20" s="6" t="n">
        <f aca="false">INDEX(Drivers!$D$54:$H$54,$C$2)</f>
        <v>-0.01</v>
      </c>
    </row>
    <row r="21" customFormat="false" ht="15" hidden="false" customHeight="false" outlineLevel="0" collapsed="false">
      <c r="A21" s="9" t="s">
        <v>165</v>
      </c>
      <c r="C21" s="22" t="n">
        <f aca="false">INDEX(Drivers!$D$55:$H$55,$C$2)</f>
        <v>1</v>
      </c>
    </row>
    <row r="22" customFormat="false" ht="15" hidden="false" customHeight="false" outlineLevel="0" collapsed="false">
      <c r="A22" s="3" t="s">
        <v>319</v>
      </c>
    </row>
    <row r="23" customFormat="false" ht="15" hidden="false" customHeight="false" outlineLevel="0" collapsed="false">
      <c r="A23" s="8" t="s">
        <v>215</v>
      </c>
      <c r="B23" s="8"/>
      <c r="C23" s="8" t="s">
        <v>217</v>
      </c>
      <c r="D23" s="8" t="s">
        <v>320</v>
      </c>
      <c r="E23" s="8" t="s">
        <v>219</v>
      </c>
    </row>
    <row r="24" customFormat="false" ht="15" hidden="false" customHeight="false" outlineLevel="0" collapsed="false">
      <c r="A24" s="5" t="str">
        <f aca="false">Drivers!$B$95</f>
        <v>Adjuvant melanoma IIB-IV (INTerpath-001)</v>
      </c>
      <c r="C24" s="32" t="n">
        <f aca="false">$C$12</f>
        <v>2027</v>
      </c>
      <c r="D24" s="33" t="n">
        <f aca="false">$C$11</f>
        <v>2.8</v>
      </c>
      <c r="E24" s="11" t="n">
        <f aca="false">$C$10</f>
        <v>0</v>
      </c>
    </row>
    <row r="25" customFormat="false" ht="15" hidden="false" customHeight="false" outlineLevel="0" collapsed="false">
      <c r="A25" s="5" t="str">
        <f aca="false">Drivers!$B$96</f>
        <v>Adjuvant NSCLC II-IIIB (INTerpath-002)</v>
      </c>
      <c r="C25" s="31" t="n">
        <f aca="false">Drivers!$D$96</f>
        <v>2031</v>
      </c>
      <c r="D25" s="33" t="n">
        <f aca="false">Drivers!$E$96*$C$14</f>
        <v>3.2</v>
      </c>
      <c r="E25" s="11" t="n">
        <f aca="false">MIN(Drivers!$F$96*$C$13,IF($C$13&gt;=10,1,0.95))</f>
        <v>0.18</v>
      </c>
    </row>
    <row r="26" customFormat="false" ht="15" hidden="false" customHeight="false" outlineLevel="0" collapsed="false">
      <c r="A26" s="5" t="str">
        <f aca="false">Drivers!$B$97</f>
        <v>Post-neoadjuvant non-pCR NSCLC (INTerpath-009)</v>
      </c>
      <c r="C26" s="31" t="n">
        <f aca="false">Drivers!$D$97</f>
        <v>2034</v>
      </c>
      <c r="D26" s="33" t="n">
        <f aca="false">Drivers!$E$97*$C$14</f>
        <v>1.2</v>
      </c>
      <c r="E26" s="11" t="n">
        <f aca="false">MIN(Drivers!$F$97*$C$13,IF($C$13&gt;=10,1,0.95))</f>
        <v>0.16</v>
      </c>
    </row>
    <row r="27" customFormat="false" ht="15" hidden="false" customHeight="false" outlineLevel="0" collapsed="false">
      <c r="A27" s="5" t="str">
        <f aca="false">Drivers!$B$98</f>
        <v>Resected stage I NSCLC (INTerpath-014)</v>
      </c>
      <c r="C27" s="31" t="n">
        <f aca="false">Drivers!$D$98</f>
        <v>2035</v>
      </c>
      <c r="D27" s="33" t="n">
        <f aca="false">Drivers!$E$98*$C$14</f>
        <v>2</v>
      </c>
      <c r="E27" s="11" t="n">
        <f aca="false">MIN(Drivers!$F$98*$C$13,IF($C$13&gt;=10,1,0.95))</f>
        <v>0.14</v>
      </c>
    </row>
    <row r="28" customFormat="false" ht="15" hidden="false" customHeight="false" outlineLevel="0" collapsed="false">
      <c r="A28" s="5" t="str">
        <f aca="false">Drivers!$B$99</f>
        <v>Adjuvant RCC (INTerpath-004)</v>
      </c>
      <c r="C28" s="31" t="n">
        <f aca="false">Drivers!$D$99</f>
        <v>2031</v>
      </c>
      <c r="D28" s="33" t="n">
        <f aca="false">Drivers!$E$99*$C$14</f>
        <v>0.96</v>
      </c>
      <c r="E28" s="11" t="n">
        <f aca="false">MIN(Drivers!$F$99*$C$13,IF($C$13&gt;=10,1,0.95))</f>
        <v>0.1</v>
      </c>
    </row>
    <row r="29" customFormat="false" ht="15" hidden="false" customHeight="false" outlineLevel="0" collapsed="false">
      <c r="A29" s="5" t="str">
        <f aca="false">Drivers!$B$100</f>
        <v>MIBC adjuvant (INTerpath-005)</v>
      </c>
      <c r="C29" s="31" t="n">
        <f aca="false">Drivers!$D$100</f>
        <v>2033</v>
      </c>
      <c r="D29" s="33" t="n">
        <f aca="false">Drivers!$E$100*$C$14</f>
        <v>0.8</v>
      </c>
      <c r="E29" s="11" t="n">
        <f aca="false">MIN(Drivers!$F$100*$C$13,IF($C$13&gt;=10,1,0.95))</f>
        <v>0.08</v>
      </c>
    </row>
    <row r="30" customFormat="false" ht="15" hidden="false" customHeight="false" outlineLevel="0" collapsed="false">
      <c r="A30" s="5" t="str">
        <f aca="false">Drivers!$B$101</f>
        <v>NMIBC + BCG (INTerpath-011)</v>
      </c>
      <c r="C30" s="31" t="n">
        <f aca="false">Drivers!$D$101</f>
        <v>2034</v>
      </c>
      <c r="D30" s="33" t="n">
        <f aca="false">Drivers!$E$101*$C$14</f>
        <v>0.8</v>
      </c>
      <c r="E30" s="11" t="n">
        <f aca="false">MIN(Drivers!$F$101*$C$13,IF($C$13&gt;=10,1,0.95))</f>
        <v>0.06</v>
      </c>
    </row>
    <row r="31" customFormat="false" ht="15" hidden="false" customHeight="false" outlineLevel="0" collapsed="false">
      <c r="A31" s="5" t="str">
        <f aca="false">Drivers!$B$102</f>
        <v>1L advanced melanoma (INTerpath-012)</v>
      </c>
      <c r="C31" s="31" t="n">
        <f aca="false">Drivers!$D$102</f>
        <v>2031</v>
      </c>
      <c r="D31" s="33" t="n">
        <f aca="false">Drivers!$E$102*$C$14</f>
        <v>0.64</v>
      </c>
      <c r="E31" s="11" t="n">
        <f aca="false">MIN(Drivers!$F$102*$C$13,IF($C$13&gt;=10,1,0.95))</f>
        <v>0.08</v>
      </c>
    </row>
    <row r="32" customFormat="false" ht="15" hidden="false" customHeight="false" outlineLevel="0" collapsed="false">
      <c r="A32" s="5" t="str">
        <f aca="false">Drivers!$B$103</f>
        <v>1L metastatic squamous NSCLC (INTerpath-013)</v>
      </c>
      <c r="C32" s="31" t="n">
        <f aca="false">Drivers!$D$103</f>
        <v>2032</v>
      </c>
      <c r="D32" s="33" t="n">
        <f aca="false">Drivers!$E$103*$C$14</f>
        <v>0.96</v>
      </c>
      <c r="E32" s="11" t="n">
        <f aca="false">MIN(Drivers!$F$103*$C$13,IF($C$13&gt;=10,1,0.95))</f>
        <v>0.06</v>
      </c>
    </row>
    <row r="33" customFormat="false" ht="15" hidden="false" customHeight="false" outlineLevel="0" collapsed="false">
      <c r="A33" s="5" t="str">
        <f aca="false">Drivers!$B$104</f>
        <v>Other solid tumours - future INT indications (pre-Ph2)</v>
      </c>
      <c r="C33" s="31" t="n">
        <f aca="false">Drivers!$D$104</f>
        <v>2035</v>
      </c>
      <c r="D33" s="33" t="n">
        <f aca="false">Drivers!$E$104*$C$14</f>
        <v>4.8</v>
      </c>
      <c r="E33" s="11" t="n">
        <f aca="false">MIN(Drivers!$F$104*$C$13,IF($C$13&gt;=10,1,0.95))</f>
        <v>0.04</v>
      </c>
    </row>
    <row r="35" customFormat="false" ht="15" hidden="false" customHeight="false" outlineLevel="0" collapsed="false">
      <c r="A35" s="3" t="s">
        <v>321</v>
      </c>
      <c r="B35" s="3" t="s">
        <v>322</v>
      </c>
      <c r="C35" s="34" t="n">
        <v>2027</v>
      </c>
      <c r="D35" s="34" t="n">
        <v>2028</v>
      </c>
      <c r="E35" s="34" t="n">
        <v>2029</v>
      </c>
      <c r="F35" s="34" t="n">
        <v>2030</v>
      </c>
      <c r="G35" s="34" t="n">
        <v>2031</v>
      </c>
      <c r="H35" s="34" t="n">
        <v>2032</v>
      </c>
      <c r="I35" s="34" t="n">
        <v>2033</v>
      </c>
      <c r="J35" s="34" t="n">
        <v>2034</v>
      </c>
      <c r="K35" s="34" t="n">
        <v>2035</v>
      </c>
      <c r="L35" s="34" t="n">
        <v>2036</v>
      </c>
      <c r="M35" s="34" t="n">
        <v>2037</v>
      </c>
      <c r="N35" s="34" t="n">
        <v>2038</v>
      </c>
      <c r="O35" s="34" t="n">
        <v>2039</v>
      </c>
      <c r="P35" s="34" t="n">
        <v>2040</v>
      </c>
      <c r="Q35" s="34" t="n">
        <v>2041</v>
      </c>
      <c r="R35" s="34" t="n">
        <v>2042</v>
      </c>
      <c r="S35" s="34" t="n">
        <v>2043</v>
      </c>
      <c r="T35" s="34" t="n">
        <v>2044</v>
      </c>
      <c r="U35" s="34" t="n">
        <v>2045</v>
      </c>
    </row>
    <row r="36" customFormat="false" ht="15" hidden="false" customHeight="false" outlineLevel="0" collapsed="false">
      <c r="A36" s="9" t="s">
        <v>323</v>
      </c>
      <c r="C36" s="32" t="n">
        <v>0</v>
      </c>
      <c r="D36" s="32" t="n">
        <v>1</v>
      </c>
      <c r="E36" s="32" t="n">
        <v>2</v>
      </c>
      <c r="F36" s="32" t="n">
        <v>3</v>
      </c>
      <c r="G36" s="32" t="n">
        <v>4</v>
      </c>
      <c r="H36" s="32" t="n">
        <v>5</v>
      </c>
      <c r="I36" s="32" t="n">
        <v>6</v>
      </c>
      <c r="J36" s="32" t="n">
        <v>7</v>
      </c>
      <c r="K36" s="32" t="n">
        <v>8</v>
      </c>
      <c r="L36" s="32" t="n">
        <v>9</v>
      </c>
      <c r="M36" s="32" t="n">
        <v>10</v>
      </c>
      <c r="N36" s="32" t="n">
        <v>11</v>
      </c>
      <c r="O36" s="32" t="n">
        <v>12</v>
      </c>
      <c r="P36" s="32" t="n">
        <v>13</v>
      </c>
      <c r="Q36" s="32" t="n">
        <v>14</v>
      </c>
      <c r="R36" s="32" t="n">
        <v>15</v>
      </c>
      <c r="S36" s="32" t="n">
        <v>16</v>
      </c>
      <c r="T36" s="32" t="n">
        <v>17</v>
      </c>
      <c r="U36" s="32" t="n">
        <v>18</v>
      </c>
    </row>
    <row r="37" customFormat="false" ht="15" hidden="false" customHeight="false" outlineLevel="0" collapsed="false">
      <c r="A37" s="3" t="s">
        <v>324</v>
      </c>
    </row>
    <row r="38" customFormat="false" ht="15" hidden="false" customHeight="false" outlineLevel="0" collapsed="false">
      <c r="A38" s="9" t="s">
        <v>325</v>
      </c>
      <c r="B38" s="35" t="s">
        <v>326</v>
      </c>
      <c r="C38" s="24" t="n">
        <f aca="false">Drivers!$D$60*$C$5</f>
        <v>1.3875</v>
      </c>
      <c r="D38" s="24" t="n">
        <f aca="false">Drivers!$E$60*$C$5</f>
        <v>1.275</v>
      </c>
      <c r="E38" s="24" t="n">
        <f aca="false">Drivers!$F$60*$C$5</f>
        <v>1.1625</v>
      </c>
      <c r="F38" s="24" t="n">
        <f aca="false">Drivers!$G$60*$C$5</f>
        <v>1.0875</v>
      </c>
      <c r="G38" s="24" t="n">
        <f aca="false">Drivers!$H$60*$C$5</f>
        <v>1.035</v>
      </c>
      <c r="H38" s="24" t="n">
        <f aca="false">Drivers!$I$60*$C$5</f>
        <v>0.975</v>
      </c>
      <c r="I38" s="24" t="n">
        <f aca="false">H38*(1+Drivers!$C$61)</f>
        <v>0.9555</v>
      </c>
      <c r="J38" s="24" t="n">
        <f aca="false">I38*(1+Drivers!$C$61)</f>
        <v>0.93639</v>
      </c>
      <c r="K38" s="24" t="n">
        <f aca="false">J38*(1+Drivers!$C$61)</f>
        <v>0.9176622</v>
      </c>
      <c r="L38" s="24" t="n">
        <f aca="false">K38*(1+Drivers!$C$61)</f>
        <v>0.899308956</v>
      </c>
      <c r="M38" s="24" t="n">
        <f aca="false">L38*(1+Drivers!$C$61)</f>
        <v>0.88132277688</v>
      </c>
      <c r="N38" s="24" t="n">
        <f aca="false">M38*(1+Drivers!$C$61)</f>
        <v>0.8636963213424</v>
      </c>
      <c r="O38" s="24" t="n">
        <f aca="false">N38*(1+Drivers!$C$61)</f>
        <v>0.846422394915552</v>
      </c>
      <c r="P38" s="24" t="n">
        <f aca="false">O38*(1+Drivers!$C$61)</f>
        <v>0.829493947017241</v>
      </c>
      <c r="Q38" s="24" t="n">
        <f aca="false">P38*(1+Drivers!$C$61)</f>
        <v>0.812904068076896</v>
      </c>
      <c r="R38" s="24" t="n">
        <f aca="false">Q38*(1+Drivers!$C$61)</f>
        <v>0.796645986715358</v>
      </c>
      <c r="S38" s="24" t="n">
        <f aca="false">R38*(1+Drivers!$C$61)</f>
        <v>0.780713066981051</v>
      </c>
      <c r="T38" s="24" t="n">
        <f aca="false">S38*(1+Drivers!$C$61)</f>
        <v>0.76509880564143</v>
      </c>
      <c r="U38" s="24" t="n">
        <f aca="false">T38*(1+Drivers!$C$61)</f>
        <v>0.749796829528601</v>
      </c>
    </row>
    <row r="39" customFormat="false" ht="15" hidden="false" customHeight="false" outlineLevel="0" collapsed="false">
      <c r="A39" s="9" t="s">
        <v>327</v>
      </c>
      <c r="B39" s="35" t="s">
        <v>326</v>
      </c>
      <c r="C39" s="24" t="n">
        <f aca="false">Drivers!$C$62*IF((C$35-Drivers!$C$63)&lt;0,0,MIN(((C$35-Drivers!$C$63)+1)/Drivers!$C$64,1))*$C$6</f>
        <v>0.08</v>
      </c>
      <c r="D39" s="24" t="n">
        <f aca="false">Drivers!$C$62*IF((D$35-Drivers!$C$63)&lt;0,0,MIN(((D$35-Drivers!$C$63)+1)/Drivers!$C$64,1))*$C$6</f>
        <v>0.16</v>
      </c>
      <c r="E39" s="24" t="n">
        <f aca="false">Drivers!$C$62*IF((E$35-Drivers!$C$63)&lt;0,0,MIN(((E$35-Drivers!$C$63)+1)/Drivers!$C$64,1))*$C$6</f>
        <v>0.24</v>
      </c>
      <c r="F39" s="24" t="n">
        <f aca="false">Drivers!$C$62*IF((F$35-Drivers!$C$63)&lt;0,0,MIN(((F$35-Drivers!$C$63)+1)/Drivers!$C$64,1))*$C$6</f>
        <v>0.32</v>
      </c>
      <c r="G39" s="24" t="n">
        <f aca="false">Drivers!$C$62*IF((G$35-Drivers!$C$63)&lt;0,0,MIN(((G$35-Drivers!$C$63)+1)/Drivers!$C$64,1))*$C$6</f>
        <v>0.4</v>
      </c>
      <c r="H39" s="24" t="n">
        <f aca="false">Drivers!$C$62*IF((H$35-Drivers!$C$63)&lt;0,0,MIN(((H$35-Drivers!$C$63)+1)/Drivers!$C$64,1))*$C$6</f>
        <v>0.4</v>
      </c>
      <c r="I39" s="24" t="n">
        <f aca="false">Drivers!$C$62*IF((I$35-Drivers!$C$63)&lt;0,0,MIN(((I$35-Drivers!$C$63)+1)/Drivers!$C$64,1))*$C$6</f>
        <v>0.4</v>
      </c>
      <c r="J39" s="24" t="n">
        <f aca="false">Drivers!$C$62*IF((J$35-Drivers!$C$63)&lt;0,0,MIN(((J$35-Drivers!$C$63)+1)/Drivers!$C$64,1))*$C$6</f>
        <v>0.4</v>
      </c>
      <c r="K39" s="24" t="n">
        <f aca="false">Drivers!$C$62*IF((K$35-Drivers!$C$63)&lt;0,0,MIN(((K$35-Drivers!$C$63)+1)/Drivers!$C$64,1))*$C$6</f>
        <v>0.4</v>
      </c>
      <c r="L39" s="24" t="n">
        <f aca="false">Drivers!$C$62*IF((L$35-Drivers!$C$63)&lt;0,0,MIN(((L$35-Drivers!$C$63)+1)/Drivers!$C$64,1))*$C$6</f>
        <v>0.4</v>
      </c>
      <c r="M39" s="24" t="n">
        <f aca="false">Drivers!$C$62*IF((M$35-Drivers!$C$63)&lt;0,0,MIN(((M$35-Drivers!$C$63)+1)/Drivers!$C$64,1))*$C$6</f>
        <v>0.4</v>
      </c>
      <c r="N39" s="24" t="n">
        <f aca="false">Drivers!$C$62*IF((N$35-Drivers!$C$63)&lt;0,0,MIN(((N$35-Drivers!$C$63)+1)/Drivers!$C$64,1))*$C$6</f>
        <v>0.4</v>
      </c>
      <c r="O39" s="24" t="n">
        <f aca="false">Drivers!$C$62*IF((O$35-Drivers!$C$63)&lt;0,0,MIN(((O$35-Drivers!$C$63)+1)/Drivers!$C$64,1))*$C$6</f>
        <v>0.4</v>
      </c>
      <c r="P39" s="24" t="n">
        <f aca="false">Drivers!$C$62*IF((P$35-Drivers!$C$63)&lt;0,0,MIN(((P$35-Drivers!$C$63)+1)/Drivers!$C$64,1))*$C$6</f>
        <v>0.4</v>
      </c>
      <c r="Q39" s="24" t="n">
        <f aca="false">Drivers!$C$62*IF((Q$35-Drivers!$C$63)&lt;0,0,MIN(((Q$35-Drivers!$C$63)+1)/Drivers!$C$64,1))*$C$6</f>
        <v>0.4</v>
      </c>
      <c r="R39" s="24" t="n">
        <f aca="false">Drivers!$C$62*IF((R$35-Drivers!$C$63)&lt;0,0,MIN(((R$35-Drivers!$C$63)+1)/Drivers!$C$64,1))*$C$6</f>
        <v>0.4</v>
      </c>
      <c r="S39" s="24" t="n">
        <f aca="false">Drivers!$C$62*IF((S$35-Drivers!$C$63)&lt;0,0,MIN(((S$35-Drivers!$C$63)+1)/Drivers!$C$64,1))*$C$6</f>
        <v>0.4</v>
      </c>
      <c r="T39" s="24" t="n">
        <f aca="false">Drivers!$C$62*IF((T$35-Drivers!$C$63)&lt;0,0,MIN(((T$35-Drivers!$C$63)+1)/Drivers!$C$64,1))*$C$6</f>
        <v>0.4</v>
      </c>
      <c r="U39" s="24" t="n">
        <f aca="false">Drivers!$C$62*IF((U$35-Drivers!$C$63)&lt;0,0,MIN(((U$35-Drivers!$C$63)+1)/Drivers!$C$64,1))*$C$6</f>
        <v>0.4</v>
      </c>
    </row>
    <row r="40" customFormat="false" ht="15" hidden="false" customHeight="false" outlineLevel="0" collapsed="false">
      <c r="A40" s="9" t="s">
        <v>328</v>
      </c>
      <c r="B40" s="35" t="s">
        <v>326</v>
      </c>
      <c r="C40" s="24" t="n">
        <f aca="false">Drivers!$C$65*IF((C$35-Drivers!$C$66)&lt;0,0,MIN(((C$35-Drivers!$C$66)+1)/Drivers!$C$67,1))*$C$7*((1-Drivers!$C$69)+Drivers!$C$69*Drivers!$C$68)</f>
        <v>0.1169</v>
      </c>
      <c r="D40" s="24" t="n">
        <f aca="false">Drivers!$C$65*IF((D$35-Drivers!$C$66)&lt;0,0,MIN(((D$35-Drivers!$C$66)+1)/Drivers!$C$67,1))*$C$7*((1-Drivers!$C$69)+Drivers!$C$69*Drivers!$C$68)</f>
        <v>0.2338</v>
      </c>
      <c r="E40" s="24" t="n">
        <f aca="false">Drivers!$C$65*IF((E$35-Drivers!$C$66)&lt;0,0,MIN(((E$35-Drivers!$C$66)+1)/Drivers!$C$67,1))*$C$7*((1-Drivers!$C$69)+Drivers!$C$69*Drivers!$C$68)</f>
        <v>0.3507</v>
      </c>
      <c r="F40" s="24" t="n">
        <f aca="false">Drivers!$C$65*IF((F$35-Drivers!$C$66)&lt;0,0,MIN(((F$35-Drivers!$C$66)+1)/Drivers!$C$67,1))*$C$7*((1-Drivers!$C$69)+Drivers!$C$69*Drivers!$C$68)</f>
        <v>0.4676</v>
      </c>
      <c r="G40" s="24" t="n">
        <f aca="false">Drivers!$C$65*IF((G$35-Drivers!$C$66)&lt;0,0,MIN(((G$35-Drivers!$C$66)+1)/Drivers!$C$67,1))*$C$7*((1-Drivers!$C$69)+Drivers!$C$69*Drivers!$C$68)</f>
        <v>0.5845</v>
      </c>
      <c r="H40" s="24" t="n">
        <f aca="false">Drivers!$C$65*IF((H$35-Drivers!$C$66)&lt;0,0,MIN(((H$35-Drivers!$C$66)+1)/Drivers!$C$67,1))*$C$7*((1-Drivers!$C$69)+Drivers!$C$69*Drivers!$C$68)</f>
        <v>0.5845</v>
      </c>
      <c r="I40" s="24" t="n">
        <f aca="false">Drivers!$C$65*IF((I$35-Drivers!$C$66)&lt;0,0,MIN(((I$35-Drivers!$C$66)+1)/Drivers!$C$67,1))*$C$7*((1-Drivers!$C$69)+Drivers!$C$69*Drivers!$C$68)</f>
        <v>0.5845</v>
      </c>
      <c r="J40" s="24" t="n">
        <f aca="false">Drivers!$C$65*IF((J$35-Drivers!$C$66)&lt;0,0,MIN(((J$35-Drivers!$C$66)+1)/Drivers!$C$67,1))*$C$7*((1-Drivers!$C$69)+Drivers!$C$69*Drivers!$C$68)</f>
        <v>0.5845</v>
      </c>
      <c r="K40" s="24" t="n">
        <f aca="false">Drivers!$C$65*IF((K$35-Drivers!$C$66)&lt;0,0,MIN(((K$35-Drivers!$C$66)+1)/Drivers!$C$67,1))*$C$7*((1-Drivers!$C$69)+Drivers!$C$69*Drivers!$C$68)</f>
        <v>0.5845</v>
      </c>
      <c r="L40" s="24" t="n">
        <f aca="false">Drivers!$C$65*IF((L$35-Drivers!$C$66)&lt;0,0,MIN(((L$35-Drivers!$C$66)+1)/Drivers!$C$67,1))*$C$7*((1-Drivers!$C$69)+Drivers!$C$69*Drivers!$C$68)</f>
        <v>0.5845</v>
      </c>
      <c r="M40" s="24" t="n">
        <f aca="false">Drivers!$C$65*IF((M$35-Drivers!$C$66)&lt;0,0,MIN(((M$35-Drivers!$C$66)+1)/Drivers!$C$67,1))*$C$7*((1-Drivers!$C$69)+Drivers!$C$69*Drivers!$C$68)</f>
        <v>0.5845</v>
      </c>
      <c r="N40" s="24" t="n">
        <f aca="false">Drivers!$C$65*IF((N$35-Drivers!$C$66)&lt;0,0,MIN(((N$35-Drivers!$C$66)+1)/Drivers!$C$67,1))*$C$7*((1-Drivers!$C$69)+Drivers!$C$69*Drivers!$C$68)</f>
        <v>0.5845</v>
      </c>
      <c r="O40" s="24" t="n">
        <f aca="false">Drivers!$C$65*IF((O$35-Drivers!$C$66)&lt;0,0,MIN(((O$35-Drivers!$C$66)+1)/Drivers!$C$67,1))*$C$7*((1-Drivers!$C$69)+Drivers!$C$69*Drivers!$C$68)</f>
        <v>0.5845</v>
      </c>
      <c r="P40" s="24" t="n">
        <f aca="false">Drivers!$C$65*IF((P$35-Drivers!$C$66)&lt;0,0,MIN(((P$35-Drivers!$C$66)+1)/Drivers!$C$67,1))*$C$7*((1-Drivers!$C$69)+Drivers!$C$69*Drivers!$C$68)</f>
        <v>0.5845</v>
      </c>
      <c r="Q40" s="24" t="n">
        <f aca="false">Drivers!$C$65*IF((Q$35-Drivers!$C$66)&lt;0,0,MIN(((Q$35-Drivers!$C$66)+1)/Drivers!$C$67,1))*$C$7*((1-Drivers!$C$69)+Drivers!$C$69*Drivers!$C$68)</f>
        <v>0.5845</v>
      </c>
      <c r="R40" s="24" t="n">
        <f aca="false">Drivers!$C$65*IF((R$35-Drivers!$C$66)&lt;0,0,MIN(((R$35-Drivers!$C$66)+1)/Drivers!$C$67,1))*$C$7*((1-Drivers!$C$69)+Drivers!$C$69*Drivers!$C$68)</f>
        <v>0.5845</v>
      </c>
      <c r="S40" s="24" t="n">
        <f aca="false">Drivers!$C$65*IF((S$35-Drivers!$C$66)&lt;0,0,MIN(((S$35-Drivers!$C$66)+1)/Drivers!$C$67,1))*$C$7*((1-Drivers!$C$69)+Drivers!$C$69*Drivers!$C$68)</f>
        <v>0.5845</v>
      </c>
      <c r="T40" s="24" t="n">
        <f aca="false">Drivers!$C$65*IF((T$35-Drivers!$C$66)&lt;0,0,MIN(((T$35-Drivers!$C$66)+1)/Drivers!$C$67,1))*$C$7*((1-Drivers!$C$69)+Drivers!$C$69*Drivers!$C$68)</f>
        <v>0.5845</v>
      </c>
      <c r="U40" s="24" t="n">
        <f aca="false">Drivers!$C$65*IF((U$35-Drivers!$C$66)&lt;0,0,MIN(((U$35-Drivers!$C$66)+1)/Drivers!$C$67,1))*$C$7*((1-Drivers!$C$69)+Drivers!$C$69*Drivers!$C$68)</f>
        <v>0.5845</v>
      </c>
    </row>
    <row r="41" customFormat="false" ht="15" hidden="false" customHeight="false" outlineLevel="0" collapsed="false">
      <c r="A41" s="9" t="s">
        <v>329</v>
      </c>
      <c r="B41" s="35" t="s">
        <v>326</v>
      </c>
      <c r="C41" s="24" t="n">
        <f aca="false">Drivers!$C$70*MIN((C$35-2026)/3,1)</f>
        <v>0.05</v>
      </c>
      <c r="D41" s="24" t="n">
        <f aca="false">Drivers!$C$70*MIN((D$35-2026)/3,1)</f>
        <v>0.1</v>
      </c>
      <c r="E41" s="24" t="n">
        <f aca="false">Drivers!$C$70*MIN((E$35-2026)/3,1)</f>
        <v>0.15</v>
      </c>
      <c r="F41" s="24" t="n">
        <f aca="false">Drivers!$C$70*MIN((F$35-2026)/3,1)</f>
        <v>0.15</v>
      </c>
      <c r="G41" s="24" t="n">
        <f aca="false">Drivers!$C$70*MIN((G$35-2026)/3,1)</f>
        <v>0.15</v>
      </c>
      <c r="H41" s="24" t="n">
        <f aca="false">Drivers!$C$70*MIN((H$35-2026)/3,1)</f>
        <v>0.15</v>
      </c>
      <c r="I41" s="24" t="n">
        <f aca="false">Drivers!$C$70*MIN((I$35-2026)/3,1)</f>
        <v>0.15</v>
      </c>
      <c r="J41" s="24" t="n">
        <f aca="false">Drivers!$C$70*MIN((J$35-2026)/3,1)</f>
        <v>0.15</v>
      </c>
      <c r="K41" s="24" t="n">
        <f aca="false">Drivers!$C$70*MIN((K$35-2026)/3,1)</f>
        <v>0.15</v>
      </c>
      <c r="L41" s="24" t="n">
        <f aca="false">Drivers!$C$70*MIN((L$35-2026)/3,1)</f>
        <v>0.15</v>
      </c>
      <c r="M41" s="24" t="n">
        <f aca="false">Drivers!$C$70*MIN((M$35-2026)/3,1)</f>
        <v>0.15</v>
      </c>
      <c r="N41" s="24" t="n">
        <f aca="false">Drivers!$C$70*MIN((N$35-2026)/3,1)</f>
        <v>0.15</v>
      </c>
      <c r="O41" s="24" t="n">
        <f aca="false">Drivers!$C$70*MIN((O$35-2026)/3,1)</f>
        <v>0.15</v>
      </c>
      <c r="P41" s="24" t="n">
        <f aca="false">Drivers!$C$70*MIN((P$35-2026)/3,1)</f>
        <v>0.15</v>
      </c>
      <c r="Q41" s="24" t="n">
        <f aca="false">Drivers!$C$70*MIN((Q$35-2026)/3,1)</f>
        <v>0.15</v>
      </c>
      <c r="R41" s="24" t="n">
        <f aca="false">Drivers!$C$70*MIN((R$35-2026)/3,1)</f>
        <v>0.15</v>
      </c>
      <c r="S41" s="24" t="n">
        <f aca="false">Drivers!$C$70*MIN((S$35-2026)/3,1)</f>
        <v>0.15</v>
      </c>
      <c r="T41" s="24" t="n">
        <f aca="false">Drivers!$C$70*MIN((T$35-2026)/3,1)</f>
        <v>0.15</v>
      </c>
      <c r="U41" s="24" t="n">
        <f aca="false">Drivers!$C$70*MIN((U$35-2026)/3,1)</f>
        <v>0.15</v>
      </c>
    </row>
    <row r="42" customFormat="false" ht="15" hidden="false" customHeight="false" outlineLevel="0" collapsed="false">
      <c r="A42" s="9" t="s">
        <v>330</v>
      </c>
      <c r="B42" s="35" t="s">
        <v>326</v>
      </c>
      <c r="C42" s="24" t="n">
        <f aca="false">$C$8*Drivers!$C$71*IF((C$35-Drivers!$C$72)&lt;0,0,MIN(((C$35-Drivers!$C$72)+1)/Drivers!$C$73,1))</f>
        <v>0</v>
      </c>
      <c r="D42" s="24" t="n">
        <f aca="false">$C$8*Drivers!$C$71*IF((D$35-Drivers!$C$72)&lt;0,0,MIN(((D$35-Drivers!$C$72)+1)/Drivers!$C$73,1))</f>
        <v>0</v>
      </c>
      <c r="E42" s="24" t="n">
        <f aca="false">$C$8*Drivers!$C$71*IF((E$35-Drivers!$C$72)&lt;0,0,MIN(((E$35-Drivers!$C$72)+1)/Drivers!$C$73,1))</f>
        <v>0.036</v>
      </c>
      <c r="F42" s="24" t="n">
        <f aca="false">$C$8*Drivers!$C$71*IF((F$35-Drivers!$C$72)&lt;0,0,MIN(((F$35-Drivers!$C$72)+1)/Drivers!$C$73,1))</f>
        <v>0.072</v>
      </c>
      <c r="G42" s="24" t="n">
        <f aca="false">$C$8*Drivers!$C$71*IF((G$35-Drivers!$C$72)&lt;0,0,MIN(((G$35-Drivers!$C$72)+1)/Drivers!$C$73,1))</f>
        <v>0.108</v>
      </c>
      <c r="H42" s="24" t="n">
        <f aca="false">$C$8*Drivers!$C$71*IF((H$35-Drivers!$C$72)&lt;0,0,MIN(((H$35-Drivers!$C$72)+1)/Drivers!$C$73,1))</f>
        <v>0.144</v>
      </c>
      <c r="I42" s="24" t="n">
        <f aca="false">$C$8*Drivers!$C$71*IF((I$35-Drivers!$C$72)&lt;0,0,MIN(((I$35-Drivers!$C$72)+1)/Drivers!$C$73,1))</f>
        <v>0.18</v>
      </c>
      <c r="J42" s="24" t="n">
        <f aca="false">$C$8*Drivers!$C$71*IF((J$35-Drivers!$C$72)&lt;0,0,MIN(((J$35-Drivers!$C$72)+1)/Drivers!$C$73,1))</f>
        <v>0.18</v>
      </c>
      <c r="K42" s="24" t="n">
        <f aca="false">$C$8*Drivers!$C$71*IF((K$35-Drivers!$C$72)&lt;0,0,MIN(((K$35-Drivers!$C$72)+1)/Drivers!$C$73,1))</f>
        <v>0.18</v>
      </c>
      <c r="L42" s="24" t="n">
        <f aca="false">$C$8*Drivers!$C$71*IF((L$35-Drivers!$C$72)&lt;0,0,MIN(((L$35-Drivers!$C$72)+1)/Drivers!$C$73,1))</f>
        <v>0.18</v>
      </c>
      <c r="M42" s="24" t="n">
        <f aca="false">$C$8*Drivers!$C$71*IF((M$35-Drivers!$C$72)&lt;0,0,MIN(((M$35-Drivers!$C$72)+1)/Drivers!$C$73,1))</f>
        <v>0.18</v>
      </c>
      <c r="N42" s="24" t="n">
        <f aca="false">$C$8*Drivers!$C$71*IF((N$35-Drivers!$C$72)&lt;0,0,MIN(((N$35-Drivers!$C$72)+1)/Drivers!$C$73,1))</f>
        <v>0.18</v>
      </c>
      <c r="O42" s="24" t="n">
        <f aca="false">$C$8*Drivers!$C$71*IF((O$35-Drivers!$C$72)&lt;0,0,MIN(((O$35-Drivers!$C$72)+1)/Drivers!$C$73,1))</f>
        <v>0.18</v>
      </c>
      <c r="P42" s="24" t="n">
        <f aca="false">$C$8*Drivers!$C$71*IF((P$35-Drivers!$C$72)&lt;0,0,MIN(((P$35-Drivers!$C$72)+1)/Drivers!$C$73,1))</f>
        <v>0.18</v>
      </c>
      <c r="Q42" s="24" t="n">
        <f aca="false">$C$8*Drivers!$C$71*IF((Q$35-Drivers!$C$72)&lt;0,0,MIN(((Q$35-Drivers!$C$72)+1)/Drivers!$C$73,1))</f>
        <v>0.18</v>
      </c>
      <c r="R42" s="24" t="n">
        <f aca="false">$C$8*Drivers!$C$71*IF((R$35-Drivers!$C$72)&lt;0,0,MIN(((R$35-Drivers!$C$72)+1)/Drivers!$C$73,1))</f>
        <v>0.18</v>
      </c>
      <c r="S42" s="24" t="n">
        <f aca="false">$C$8*Drivers!$C$71*IF((S$35-Drivers!$C$72)&lt;0,0,MIN(((S$35-Drivers!$C$72)+1)/Drivers!$C$73,1))</f>
        <v>0.18</v>
      </c>
      <c r="T42" s="24" t="n">
        <f aca="false">$C$8*Drivers!$C$71*IF((T$35-Drivers!$C$72)&lt;0,0,MIN(((T$35-Drivers!$C$72)+1)/Drivers!$C$73,1))</f>
        <v>0.18</v>
      </c>
      <c r="U42" s="24" t="n">
        <f aca="false">$C$8*Drivers!$C$71*IF((U$35-Drivers!$C$72)&lt;0,0,MIN(((U$35-Drivers!$C$72)+1)/Drivers!$C$73,1))</f>
        <v>0.18</v>
      </c>
    </row>
    <row r="43" customFormat="false" ht="15" hidden="false" customHeight="false" outlineLevel="0" collapsed="false">
      <c r="A43" s="9" t="s">
        <v>331</v>
      </c>
      <c r="B43" s="35" t="s">
        <v>326</v>
      </c>
      <c r="C43" s="24" t="n">
        <f aca="false">Drivers!$C$74</f>
        <v>0.15</v>
      </c>
      <c r="D43" s="24" t="n">
        <f aca="false">Drivers!$C$74</f>
        <v>0.15</v>
      </c>
      <c r="E43" s="24" t="n">
        <f aca="false">Drivers!$C$74</f>
        <v>0.15</v>
      </c>
      <c r="F43" s="24" t="n">
        <f aca="false">Drivers!$C$74</f>
        <v>0.15</v>
      </c>
      <c r="G43" s="24" t="n">
        <f aca="false">Drivers!$C$74</f>
        <v>0.15</v>
      </c>
      <c r="H43" s="24" t="n">
        <f aca="false">Drivers!$C$74</f>
        <v>0.15</v>
      </c>
      <c r="I43" s="24" t="n">
        <f aca="false">Drivers!$C$74</f>
        <v>0.15</v>
      </c>
      <c r="J43" s="24" t="n">
        <f aca="false">Drivers!$C$74</f>
        <v>0.15</v>
      </c>
      <c r="K43" s="24" t="n">
        <f aca="false">Drivers!$C$74</f>
        <v>0.15</v>
      </c>
      <c r="L43" s="24" t="n">
        <f aca="false">Drivers!$C$74</f>
        <v>0.15</v>
      </c>
      <c r="M43" s="24" t="n">
        <f aca="false">Drivers!$C$74</f>
        <v>0.15</v>
      </c>
      <c r="N43" s="24" t="n">
        <f aca="false">Drivers!$C$74</f>
        <v>0.15</v>
      </c>
      <c r="O43" s="24" t="n">
        <f aca="false">Drivers!$C$74</f>
        <v>0.15</v>
      </c>
      <c r="P43" s="24" t="n">
        <f aca="false">Drivers!$C$74</f>
        <v>0.15</v>
      </c>
      <c r="Q43" s="24" t="n">
        <f aca="false">Drivers!$C$74</f>
        <v>0.15</v>
      </c>
      <c r="R43" s="24" t="n">
        <f aca="false">Drivers!$C$74</f>
        <v>0.15</v>
      </c>
      <c r="S43" s="24" t="n">
        <f aca="false">Drivers!$C$74</f>
        <v>0.15</v>
      </c>
      <c r="T43" s="24" t="n">
        <f aca="false">Drivers!$C$74</f>
        <v>0.15</v>
      </c>
      <c r="U43" s="24" t="n">
        <f aca="false">Drivers!$C$74</f>
        <v>0.15</v>
      </c>
    </row>
    <row r="44" customFormat="false" ht="15" hidden="false" customHeight="false" outlineLevel="0" collapsed="false">
      <c r="A44" s="3" t="s">
        <v>332</v>
      </c>
      <c r="B44" s="35" t="s">
        <v>326</v>
      </c>
      <c r="C44" s="29" t="n">
        <f aca="false">SUM(C38:C43)</f>
        <v>1.7844</v>
      </c>
      <c r="D44" s="29" t="n">
        <f aca="false">SUM(D38:D43)</f>
        <v>1.9188</v>
      </c>
      <c r="E44" s="29" t="n">
        <f aca="false">SUM(E38:E43)</f>
        <v>2.0892</v>
      </c>
      <c r="F44" s="29" t="n">
        <f aca="false">SUM(F38:F43)</f>
        <v>2.2471</v>
      </c>
      <c r="G44" s="29" t="n">
        <f aca="false">SUM(G38:G43)</f>
        <v>2.4275</v>
      </c>
      <c r="H44" s="29" t="n">
        <f aca="false">SUM(H38:H43)</f>
        <v>2.4035</v>
      </c>
      <c r="I44" s="29" t="n">
        <f aca="false">SUM(I38:I43)</f>
        <v>2.42</v>
      </c>
      <c r="J44" s="29" t="n">
        <f aca="false">SUM(J38:J43)</f>
        <v>2.40089</v>
      </c>
      <c r="K44" s="29" t="n">
        <f aca="false">SUM(K38:K43)</f>
        <v>2.3821622</v>
      </c>
      <c r="L44" s="29" t="n">
        <f aca="false">SUM(L38:L43)</f>
        <v>2.363808956</v>
      </c>
      <c r="M44" s="29" t="n">
        <f aca="false">SUM(M38:M43)</f>
        <v>2.34582277688</v>
      </c>
      <c r="N44" s="29" t="n">
        <f aca="false">SUM(N38:N43)</f>
        <v>2.3281963213424</v>
      </c>
      <c r="O44" s="29" t="n">
        <f aca="false">SUM(O38:O43)</f>
        <v>2.31092239491555</v>
      </c>
      <c r="P44" s="29" t="n">
        <f aca="false">SUM(P38:P43)</f>
        <v>2.29399394701724</v>
      </c>
      <c r="Q44" s="29" t="n">
        <f aca="false">SUM(Q38:Q43)</f>
        <v>2.2774040680769</v>
      </c>
      <c r="R44" s="29" t="n">
        <f aca="false">SUM(R38:R43)</f>
        <v>2.26114598671536</v>
      </c>
      <c r="S44" s="29" t="n">
        <f aca="false">SUM(S38:S43)</f>
        <v>2.24521306698105</v>
      </c>
      <c r="T44" s="29" t="n">
        <f aca="false">SUM(T38:T43)</f>
        <v>2.22959880564143</v>
      </c>
      <c r="U44" s="29" t="n">
        <f aca="false">SUM(U38:U43)</f>
        <v>2.2142968295286</v>
      </c>
    </row>
    <row r="45" customFormat="false" ht="15" hidden="false" customHeight="false" outlineLevel="0" collapsed="false">
      <c r="A45" s="9" t="s">
        <v>333</v>
      </c>
      <c r="B45" s="35" t="s">
        <v>334</v>
      </c>
      <c r="C45" s="11" t="n">
        <f aca="false">Drivers!$D$75+$C$9</f>
        <v>0.6</v>
      </c>
      <c r="D45" s="11" t="n">
        <f aca="false">Drivers!$E$75+$C$9</f>
        <v>0.64</v>
      </c>
      <c r="E45" s="11" t="n">
        <f aca="false">Drivers!$F$75+$C$9</f>
        <v>0.67</v>
      </c>
      <c r="F45" s="11" t="n">
        <f aca="false">Drivers!$G$75+$C$9</f>
        <v>0.69</v>
      </c>
      <c r="G45" s="11" t="n">
        <f aca="false">Drivers!$H$75+$C$9</f>
        <v>0.7</v>
      </c>
      <c r="H45" s="11" t="n">
        <f aca="false">Drivers!$I$75+$C$9</f>
        <v>0.71</v>
      </c>
      <c r="I45" s="11" t="n">
        <f aca="false">Drivers!$I$75+$C$9</f>
        <v>0.71</v>
      </c>
      <c r="J45" s="11" t="n">
        <f aca="false">Drivers!$I$75+$C$9</f>
        <v>0.71</v>
      </c>
      <c r="K45" s="11" t="n">
        <f aca="false">Drivers!$I$75+$C$9</f>
        <v>0.71</v>
      </c>
      <c r="L45" s="11" t="n">
        <f aca="false">Drivers!$I$75+$C$9</f>
        <v>0.71</v>
      </c>
      <c r="M45" s="11" t="n">
        <f aca="false">Drivers!$I$75+$C$9</f>
        <v>0.71</v>
      </c>
      <c r="N45" s="11" t="n">
        <f aca="false">Drivers!$I$75+$C$9</f>
        <v>0.71</v>
      </c>
      <c r="O45" s="11" t="n">
        <f aca="false">Drivers!$I$75+$C$9</f>
        <v>0.71</v>
      </c>
      <c r="P45" s="11" t="n">
        <f aca="false">Drivers!$I$75+$C$9</f>
        <v>0.71</v>
      </c>
      <c r="Q45" s="11" t="n">
        <f aca="false">Drivers!$I$75+$C$9</f>
        <v>0.71</v>
      </c>
      <c r="R45" s="11" t="n">
        <f aca="false">Drivers!$I$75+$C$9</f>
        <v>0.71</v>
      </c>
      <c r="S45" s="11" t="n">
        <f aca="false">Drivers!$I$75+$C$9</f>
        <v>0.71</v>
      </c>
      <c r="T45" s="11" t="n">
        <f aca="false">Drivers!$I$75+$C$9</f>
        <v>0.71</v>
      </c>
      <c r="U45" s="11" t="n">
        <f aca="false">Drivers!$I$75+$C$9</f>
        <v>0.71</v>
      </c>
    </row>
    <row r="46" customFormat="false" ht="15" hidden="false" customHeight="false" outlineLevel="0" collapsed="false">
      <c r="A46" s="9" t="s">
        <v>335</v>
      </c>
      <c r="B46" s="35" t="s">
        <v>326</v>
      </c>
      <c r="C46" s="24" t="n">
        <f aca="false">C39+C40</f>
        <v>0.1969</v>
      </c>
      <c r="D46" s="24" t="n">
        <f aca="false">D39+D40</f>
        <v>0.3938</v>
      </c>
      <c r="E46" s="24" t="n">
        <f aca="false">E39+E40</f>
        <v>0.5907</v>
      </c>
      <c r="F46" s="24" t="n">
        <f aca="false">F39+F40</f>
        <v>0.7876</v>
      </c>
      <c r="G46" s="24" t="n">
        <f aca="false">G39+G40</f>
        <v>0.9845</v>
      </c>
      <c r="H46" s="24" t="n">
        <f aca="false">H39+H40</f>
        <v>0.9845</v>
      </c>
      <c r="I46" s="24" t="n">
        <f aca="false">I39+I40</f>
        <v>0.9845</v>
      </c>
      <c r="J46" s="24" t="n">
        <f aca="false">J39+J40</f>
        <v>0.9845</v>
      </c>
      <c r="K46" s="24" t="n">
        <f aca="false">K39+K40</f>
        <v>0.9845</v>
      </c>
      <c r="L46" s="24" t="n">
        <f aca="false">L39+L40</f>
        <v>0.9845</v>
      </c>
      <c r="M46" s="24" t="n">
        <f aca="false">M39+M40</f>
        <v>0.9845</v>
      </c>
      <c r="N46" s="24" t="n">
        <f aca="false">N39+N40</f>
        <v>0.9845</v>
      </c>
      <c r="O46" s="24" t="n">
        <f aca="false">O39+O40</f>
        <v>0.9845</v>
      </c>
      <c r="P46" s="24" t="n">
        <f aca="false">P39+P40</f>
        <v>0.9845</v>
      </c>
      <c r="Q46" s="24" t="n">
        <f aca="false">Q39+Q40</f>
        <v>0.9845</v>
      </c>
      <c r="R46" s="24" t="n">
        <f aca="false">R39+R40</f>
        <v>0.9845</v>
      </c>
      <c r="S46" s="24" t="n">
        <f aca="false">S39+S40</f>
        <v>0.9845</v>
      </c>
      <c r="T46" s="24" t="n">
        <f aca="false">T39+T40</f>
        <v>0.9845</v>
      </c>
      <c r="U46" s="24" t="n">
        <f aca="false">U39+U40</f>
        <v>0.9845</v>
      </c>
    </row>
    <row r="47" customFormat="false" ht="15" hidden="false" customHeight="false" outlineLevel="0" collapsed="false">
      <c r="A47" s="9" t="s">
        <v>336</v>
      </c>
      <c r="B47" s="35" t="s">
        <v>326</v>
      </c>
      <c r="C47" s="24" t="n">
        <f aca="false">MIN(Drivers!$C$77-0,Drivers!$C$78*C46)</f>
        <v>0.015752</v>
      </c>
      <c r="D47" s="24" t="n">
        <f aca="false">MIN(Drivers!$C$77-C48,Drivers!$C$78*D46)</f>
        <v>0.031504</v>
      </c>
      <c r="E47" s="24" t="n">
        <f aca="false">MIN(Drivers!$C$77-D48,Drivers!$C$78*E46)</f>
        <v>0.047256</v>
      </c>
      <c r="F47" s="24" t="n">
        <f aca="false">MIN(Drivers!$C$77-E48,Drivers!$C$78*F46)</f>
        <v>0.063008</v>
      </c>
      <c r="G47" s="24" t="n">
        <f aca="false">MIN(Drivers!$C$77-F48,Drivers!$C$78*G46)</f>
        <v>0.07876</v>
      </c>
      <c r="H47" s="24" t="n">
        <f aca="false">MIN(Drivers!$C$77-G48,Drivers!$C$78*H46)</f>
        <v>0.07876</v>
      </c>
      <c r="I47" s="24" t="n">
        <f aca="false">MIN(Drivers!$C$77-H48,Drivers!$C$78*I46)</f>
        <v>0.07876</v>
      </c>
      <c r="J47" s="24" t="n">
        <f aca="false">MIN(Drivers!$C$77-I48,Drivers!$C$78*J46)</f>
        <v>0.07876</v>
      </c>
      <c r="K47" s="24" t="n">
        <f aca="false">MIN(Drivers!$C$77-J48,Drivers!$C$78*K46)</f>
        <v>0.07876</v>
      </c>
      <c r="L47" s="24" t="n">
        <f aca="false">MIN(Drivers!$C$77-K48,Drivers!$C$78*L46)</f>
        <v>0.07876</v>
      </c>
      <c r="M47" s="24" t="n">
        <f aca="false">MIN(Drivers!$C$77-L48,Drivers!$C$78*M46)</f>
        <v>0.07876</v>
      </c>
      <c r="N47" s="24" t="n">
        <f aca="false">MIN(Drivers!$C$77-M48,Drivers!$C$78*N46)</f>
        <v>0.0411600000000001</v>
      </c>
      <c r="O47" s="24" t="n">
        <f aca="false">MIN(Drivers!$C$77-N48,Drivers!$C$78*O46)</f>
        <v>0</v>
      </c>
      <c r="P47" s="24" t="n">
        <f aca="false">MIN(Drivers!$C$77-O48,Drivers!$C$78*P46)</f>
        <v>0</v>
      </c>
      <c r="Q47" s="24" t="n">
        <f aca="false">MIN(Drivers!$C$77-P48,Drivers!$C$78*Q46)</f>
        <v>0</v>
      </c>
      <c r="R47" s="24" t="n">
        <f aca="false">MIN(Drivers!$C$77-Q48,Drivers!$C$78*R46)</f>
        <v>0</v>
      </c>
      <c r="S47" s="24" t="n">
        <f aca="false">MIN(Drivers!$C$77-R48,Drivers!$C$78*S46)</f>
        <v>0</v>
      </c>
      <c r="T47" s="24" t="n">
        <f aca="false">MIN(Drivers!$C$77-S48,Drivers!$C$78*T46)</f>
        <v>0</v>
      </c>
      <c r="U47" s="24" t="n">
        <f aca="false">MIN(Drivers!$C$77-T48,Drivers!$C$78*U46)</f>
        <v>0</v>
      </c>
    </row>
    <row r="48" customFormat="false" ht="15" hidden="false" customHeight="false" outlineLevel="0" collapsed="false">
      <c r="A48" s="9" t="s">
        <v>337</v>
      </c>
      <c r="B48" s="35" t="s">
        <v>326</v>
      </c>
      <c r="C48" s="24" t="n">
        <f aca="false">C47</f>
        <v>0.015752</v>
      </c>
      <c r="D48" s="24" t="n">
        <f aca="false">C48+D47</f>
        <v>0.047256</v>
      </c>
      <c r="E48" s="24" t="n">
        <f aca="false">D48+E47</f>
        <v>0.094512</v>
      </c>
      <c r="F48" s="24" t="n">
        <f aca="false">E48+F47</f>
        <v>0.15752</v>
      </c>
      <c r="G48" s="24" t="n">
        <f aca="false">F48+G47</f>
        <v>0.23628</v>
      </c>
      <c r="H48" s="24" t="n">
        <f aca="false">G48+H47</f>
        <v>0.31504</v>
      </c>
      <c r="I48" s="24" t="n">
        <f aca="false">H48+I47</f>
        <v>0.3938</v>
      </c>
      <c r="J48" s="24" t="n">
        <f aca="false">I48+J47</f>
        <v>0.47256</v>
      </c>
      <c r="K48" s="24" t="n">
        <f aca="false">J48+K47</f>
        <v>0.55132</v>
      </c>
      <c r="L48" s="24" t="n">
        <f aca="false">K48+L47</f>
        <v>0.63008</v>
      </c>
      <c r="M48" s="24" t="n">
        <f aca="false">L48+M47</f>
        <v>0.70884</v>
      </c>
      <c r="N48" s="24" t="n">
        <f aca="false">M48+N47</f>
        <v>0.75</v>
      </c>
      <c r="O48" s="24" t="n">
        <f aca="false">N48+O47</f>
        <v>0.75</v>
      </c>
      <c r="P48" s="24" t="n">
        <f aca="false">O48+P47</f>
        <v>0.75</v>
      </c>
      <c r="Q48" s="24" t="n">
        <f aca="false">P48+Q47</f>
        <v>0.75</v>
      </c>
      <c r="R48" s="24" t="n">
        <f aca="false">Q48+R47</f>
        <v>0.75</v>
      </c>
      <c r="S48" s="24" t="n">
        <f aca="false">R48+S47</f>
        <v>0.75</v>
      </c>
      <c r="T48" s="24" t="n">
        <f aca="false">S48+T47</f>
        <v>0.75</v>
      </c>
      <c r="U48" s="24" t="n">
        <f aca="false">T48+U47</f>
        <v>0.75</v>
      </c>
    </row>
    <row r="49" customFormat="false" ht="15" hidden="false" customHeight="false" outlineLevel="0" collapsed="false">
      <c r="A49" s="9" t="s">
        <v>338</v>
      </c>
      <c r="B49" s="35" t="s">
        <v>326</v>
      </c>
      <c r="C49" s="24" t="n">
        <f aca="false">Drivers!$C$76*C46+C47</f>
        <v>0.0206745</v>
      </c>
      <c r="D49" s="24" t="n">
        <f aca="false">Drivers!$C$76*D46+D47</f>
        <v>0.041349</v>
      </c>
      <c r="E49" s="24" t="n">
        <f aca="false">Drivers!$C$76*E46+E47</f>
        <v>0.0620235</v>
      </c>
      <c r="F49" s="24" t="n">
        <f aca="false">Drivers!$C$76*F46+F47</f>
        <v>0.082698</v>
      </c>
      <c r="G49" s="24" t="n">
        <f aca="false">Drivers!$C$76*G46+G47</f>
        <v>0.1033725</v>
      </c>
      <c r="H49" s="24" t="n">
        <f aca="false">Drivers!$C$76*H46+H47</f>
        <v>0.1033725</v>
      </c>
      <c r="I49" s="24" t="n">
        <f aca="false">Drivers!$C$76*I46+I47</f>
        <v>0.1033725</v>
      </c>
      <c r="J49" s="24" t="n">
        <f aca="false">Drivers!$C$76*J46+J47</f>
        <v>0.1033725</v>
      </c>
      <c r="K49" s="24" t="n">
        <f aca="false">Drivers!$C$76*K46+K47</f>
        <v>0.1033725</v>
      </c>
      <c r="L49" s="24" t="n">
        <f aca="false">Drivers!$C$76*L46+L47</f>
        <v>0.1033725</v>
      </c>
      <c r="M49" s="24" t="n">
        <f aca="false">Drivers!$C$76*M46+M47</f>
        <v>0.1033725</v>
      </c>
      <c r="N49" s="24" t="n">
        <f aca="false">Drivers!$C$76*N46+N47</f>
        <v>0.0657725000000001</v>
      </c>
      <c r="O49" s="24" t="n">
        <f aca="false">Drivers!$C$76*O46+O47</f>
        <v>0.0246125</v>
      </c>
      <c r="P49" s="24" t="n">
        <f aca="false">Drivers!$C$76*P46+P47</f>
        <v>0.0246125</v>
      </c>
      <c r="Q49" s="24" t="n">
        <f aca="false">Drivers!$C$76*Q46+Q47</f>
        <v>0.0246125</v>
      </c>
      <c r="R49" s="24" t="n">
        <f aca="false">Drivers!$C$76*R46+R47</f>
        <v>0.0246125</v>
      </c>
      <c r="S49" s="24" t="n">
        <f aca="false">Drivers!$C$76*S46+S47</f>
        <v>0.0246125</v>
      </c>
      <c r="T49" s="24" t="n">
        <f aca="false">Drivers!$C$76*T46+T47</f>
        <v>0.0246125</v>
      </c>
      <c r="U49" s="24" t="n">
        <f aca="false">Drivers!$C$76*U46+U47</f>
        <v>0.0246125</v>
      </c>
    </row>
    <row r="50" customFormat="false" ht="15" hidden="false" customHeight="false" outlineLevel="0" collapsed="false">
      <c r="A50" s="9" t="s">
        <v>339</v>
      </c>
      <c r="B50" s="35" t="s">
        <v>326</v>
      </c>
      <c r="C50" s="24" t="n">
        <f aca="false">MAX(Drivers!$C$80,Drivers!$C$79*C44)</f>
        <v>0.4</v>
      </c>
      <c r="D50" s="24" t="n">
        <f aca="false">MAX(Drivers!$C$80,Drivers!$C$79*D44)</f>
        <v>0.4</v>
      </c>
      <c r="E50" s="24" t="n">
        <f aca="false">MAX(Drivers!$C$80,Drivers!$C$79*E44)</f>
        <v>0.4</v>
      </c>
      <c r="F50" s="24" t="n">
        <f aca="false">MAX(Drivers!$C$80,Drivers!$C$79*F44)</f>
        <v>0.4</v>
      </c>
      <c r="G50" s="24" t="n">
        <f aca="false">MAX(Drivers!$C$80,Drivers!$C$79*G44)</f>
        <v>0.4</v>
      </c>
      <c r="H50" s="24" t="n">
        <f aca="false">MAX(Drivers!$C$80,Drivers!$C$79*H44)</f>
        <v>0.4</v>
      </c>
      <c r="I50" s="24" t="n">
        <f aca="false">MAX(Drivers!$C$80,Drivers!$C$79*I44)</f>
        <v>0.4</v>
      </c>
      <c r="J50" s="24" t="n">
        <f aca="false">MAX(Drivers!$C$80,Drivers!$C$79*J44)</f>
        <v>0.4</v>
      </c>
      <c r="K50" s="24" t="n">
        <f aca="false">MAX(Drivers!$C$80,Drivers!$C$79*K44)</f>
        <v>0.4</v>
      </c>
      <c r="L50" s="24" t="n">
        <f aca="false">MAX(Drivers!$C$80,Drivers!$C$79*L44)</f>
        <v>0.4</v>
      </c>
      <c r="M50" s="24" t="n">
        <f aca="false">MAX(Drivers!$C$80,Drivers!$C$79*M44)</f>
        <v>0.4</v>
      </c>
      <c r="N50" s="24" t="n">
        <f aca="false">MAX(Drivers!$C$80,Drivers!$C$79*N44)</f>
        <v>0.4</v>
      </c>
      <c r="O50" s="24" t="n">
        <f aca="false">MAX(Drivers!$C$80,Drivers!$C$79*O44)</f>
        <v>0.4</v>
      </c>
      <c r="P50" s="24" t="n">
        <f aca="false">MAX(Drivers!$C$80,Drivers!$C$79*P44)</f>
        <v>0.4</v>
      </c>
      <c r="Q50" s="24" t="n">
        <f aca="false">MAX(Drivers!$C$80,Drivers!$C$79*Q44)</f>
        <v>0.4</v>
      </c>
      <c r="R50" s="24" t="n">
        <f aca="false">MAX(Drivers!$C$80,Drivers!$C$79*R44)</f>
        <v>0.4</v>
      </c>
      <c r="S50" s="24" t="n">
        <f aca="false">MAX(Drivers!$C$80,Drivers!$C$79*S44)</f>
        <v>0.4</v>
      </c>
      <c r="T50" s="24" t="n">
        <f aca="false">MAX(Drivers!$C$80,Drivers!$C$79*T44)</f>
        <v>0.4</v>
      </c>
      <c r="U50" s="24" t="n">
        <f aca="false">MAX(Drivers!$C$80,Drivers!$C$79*U44)</f>
        <v>0.4</v>
      </c>
    </row>
    <row r="51" customFormat="false" ht="15" hidden="false" customHeight="false" outlineLevel="0" collapsed="false">
      <c r="A51" s="9" t="s">
        <v>340</v>
      </c>
      <c r="B51" s="35" t="s">
        <v>326</v>
      </c>
      <c r="C51" s="24" t="n">
        <f aca="false">Drivers!$D$81</f>
        <v>0.75</v>
      </c>
      <c r="D51" s="24" t="n">
        <f aca="false">Drivers!$E$81</f>
        <v>0.62</v>
      </c>
      <c r="E51" s="24" t="n">
        <f aca="false">Drivers!$F$81</f>
        <v>0.55</v>
      </c>
      <c r="F51" s="24" t="n">
        <f aca="false">Drivers!$G$81</f>
        <v>0.5</v>
      </c>
      <c r="G51" s="24" t="n">
        <f aca="false">Drivers!$H$81</f>
        <v>0.48</v>
      </c>
      <c r="H51" s="24" t="n">
        <f aca="false">Drivers!$I$81</f>
        <v>0.46</v>
      </c>
      <c r="I51" s="24" t="n">
        <f aca="false">H51*1.02</f>
        <v>0.4692</v>
      </c>
      <c r="J51" s="24" t="n">
        <f aca="false">I51*1.02</f>
        <v>0.478584</v>
      </c>
      <c r="K51" s="24" t="n">
        <f aca="false">J51*1.02</f>
        <v>0.48815568</v>
      </c>
      <c r="L51" s="24" t="n">
        <f aca="false">K51*1.02</f>
        <v>0.4979187936</v>
      </c>
      <c r="M51" s="24" t="n">
        <f aca="false">L51*1.02</f>
        <v>0.507877169472</v>
      </c>
      <c r="N51" s="24" t="n">
        <f aca="false">M51*1.02</f>
        <v>0.51803471286144</v>
      </c>
      <c r="O51" s="24" t="n">
        <f aca="false">N51*1.02</f>
        <v>0.528395407118669</v>
      </c>
      <c r="P51" s="24" t="n">
        <f aca="false">O51*1.02</f>
        <v>0.538963315261042</v>
      </c>
      <c r="Q51" s="24" t="n">
        <f aca="false">P51*1.02</f>
        <v>0.549742581566263</v>
      </c>
      <c r="R51" s="24" t="n">
        <f aca="false">Q51*1.02</f>
        <v>0.560737433197588</v>
      </c>
      <c r="S51" s="24" t="n">
        <f aca="false">R51*1.02</f>
        <v>0.57195218186154</v>
      </c>
      <c r="T51" s="24" t="n">
        <f aca="false">S51*1.02</f>
        <v>0.583391225498771</v>
      </c>
      <c r="U51" s="24" t="n">
        <f aca="false">T51*1.02</f>
        <v>0.595059050008746</v>
      </c>
    </row>
    <row r="52" customFormat="false" ht="15" hidden="false" customHeight="false" outlineLevel="0" collapsed="false">
      <c r="A52" s="3" t="s">
        <v>341</v>
      </c>
      <c r="B52" s="35" t="s">
        <v>326</v>
      </c>
      <c r="C52" s="29" t="n">
        <f aca="false">C44*C45-C49-C50-C51</f>
        <v>-0.1000345</v>
      </c>
      <c r="D52" s="29" t="n">
        <f aca="false">D44*D45-D49-D50-D51</f>
        <v>0.166683</v>
      </c>
      <c r="E52" s="29" t="n">
        <f aca="false">E44*E45-E49-E50-E51</f>
        <v>0.3877405</v>
      </c>
      <c r="F52" s="29" t="n">
        <f aca="false">F44*F45-F49-F50-F51</f>
        <v>0.567801</v>
      </c>
      <c r="G52" s="29" t="n">
        <f aca="false">G44*G45-G49-G50-G51</f>
        <v>0.7158775</v>
      </c>
      <c r="H52" s="29" t="n">
        <f aca="false">H44*H45-H49-H50-H51</f>
        <v>0.7431125</v>
      </c>
      <c r="I52" s="29" t="n">
        <f aca="false">I44*I45-I49-I50-I51</f>
        <v>0.7456275</v>
      </c>
      <c r="J52" s="29" t="n">
        <f aca="false">J44*J45-J49-J50-J51</f>
        <v>0.7226754</v>
      </c>
      <c r="K52" s="29" t="n">
        <f aca="false">K44*K45-K49-K50-K51</f>
        <v>0.699806982</v>
      </c>
      <c r="L52" s="29" t="n">
        <f aca="false">L44*L45-L49-L50-L51</f>
        <v>0.67701306516</v>
      </c>
      <c r="M52" s="29" t="n">
        <f aca="false">M44*M45-M49-M50-M51</f>
        <v>0.6542845021128</v>
      </c>
      <c r="N52" s="29" t="n">
        <f aca="false">N44*N45-N49-N50-N51</f>
        <v>0.669212175291664</v>
      </c>
      <c r="O52" s="29" t="n">
        <f aca="false">O44*O45-O49-O50-O51</f>
        <v>0.687746993271373</v>
      </c>
      <c r="P52" s="29" t="n">
        <f aca="false">P44*P45-P49-P50-P51</f>
        <v>0.665159887121199</v>
      </c>
      <c r="Q52" s="29" t="n">
        <f aca="false">Q44*Q45-Q49-Q50-Q51</f>
        <v>0.642601806768333</v>
      </c>
      <c r="R52" s="29" t="n">
        <f aca="false">R44*R45-R49-R50-R51</f>
        <v>0.620063717370316</v>
      </c>
      <c r="S52" s="29" t="n">
        <f aca="false">S44*S45-S49-S50-S51</f>
        <v>0.597536595695006</v>
      </c>
      <c r="T52" s="29" t="n">
        <f aca="false">T44*T45-T49-T50-T51</f>
        <v>0.575011426506644</v>
      </c>
      <c r="U52" s="29" t="n">
        <f aca="false">U44*U45-U49-U50-U51</f>
        <v>0.55247919895656</v>
      </c>
    </row>
    <row r="53" customFormat="false" ht="15" hidden="false" customHeight="false" outlineLevel="0" collapsed="false">
      <c r="A53" s="3" t="s">
        <v>342</v>
      </c>
    </row>
    <row r="54" customFormat="false" ht="15" hidden="false" customHeight="false" outlineLevel="0" collapsed="false">
      <c r="A54" s="9" t="s">
        <v>343</v>
      </c>
      <c r="B54" s="35" t="s">
        <v>326</v>
      </c>
      <c r="C54" s="24" t="n">
        <f aca="false">$D$24*$C$15*IF((C$35-$C$24)&lt;0,0,IF((C$35-$C$24)&gt;=7,1,INDEX(Drivers!$D$86:$J$86,(C$35-$C$24)+1)))*IF((C$35-$C$24)&lt;Drivers!$C$87,1,Drivers!$C$88*Drivers!$C$89^((C$35-$C$24)-Drivers!$C$87))*$E$24</f>
        <v>0</v>
      </c>
      <c r="D54" s="24" t="n">
        <f aca="false">$D$24*$C$15*IF((D$35-$C$24)&lt;0,0,IF((D$35-$C$24)&gt;=7,1,INDEX(Drivers!$D$86:$J$86,(D$35-$C$24)+1)))*IF((D$35-$C$24)&lt;Drivers!$C$87,1,Drivers!$C$88*Drivers!$C$89^((D$35-$C$24)-Drivers!$C$87))*$E$24</f>
        <v>0</v>
      </c>
      <c r="E54" s="24" t="n">
        <f aca="false">$D$24*$C$15*IF((E$35-$C$24)&lt;0,0,IF((E$35-$C$24)&gt;=7,1,INDEX(Drivers!$D$86:$J$86,(E$35-$C$24)+1)))*IF((E$35-$C$24)&lt;Drivers!$C$87,1,Drivers!$C$88*Drivers!$C$89^((E$35-$C$24)-Drivers!$C$87))*$E$24</f>
        <v>0</v>
      </c>
      <c r="F54" s="24" t="n">
        <f aca="false">$D$24*$C$15*IF((F$35-$C$24)&lt;0,0,IF((F$35-$C$24)&gt;=7,1,INDEX(Drivers!$D$86:$J$86,(F$35-$C$24)+1)))*IF((F$35-$C$24)&lt;Drivers!$C$87,1,Drivers!$C$88*Drivers!$C$89^((F$35-$C$24)-Drivers!$C$87))*$E$24</f>
        <v>0</v>
      </c>
      <c r="G54" s="24" t="n">
        <f aca="false">$D$24*$C$15*IF((G$35-$C$24)&lt;0,0,IF((G$35-$C$24)&gt;=7,1,INDEX(Drivers!$D$86:$J$86,(G$35-$C$24)+1)))*IF((G$35-$C$24)&lt;Drivers!$C$87,1,Drivers!$C$88*Drivers!$C$89^((G$35-$C$24)-Drivers!$C$87))*$E$24</f>
        <v>0</v>
      </c>
      <c r="H54" s="24" t="n">
        <f aca="false">$D$24*$C$15*IF((H$35-$C$24)&lt;0,0,IF((H$35-$C$24)&gt;=7,1,INDEX(Drivers!$D$86:$J$86,(H$35-$C$24)+1)))*IF((H$35-$C$24)&lt;Drivers!$C$87,1,Drivers!$C$88*Drivers!$C$89^((H$35-$C$24)-Drivers!$C$87))*$E$24</f>
        <v>0</v>
      </c>
      <c r="I54" s="24" t="n">
        <f aca="false">$D$24*$C$15*IF((I$35-$C$24)&lt;0,0,IF((I$35-$C$24)&gt;=7,1,INDEX(Drivers!$D$86:$J$86,(I$35-$C$24)+1)))*IF((I$35-$C$24)&lt;Drivers!$C$87,1,Drivers!$C$88*Drivers!$C$89^((I$35-$C$24)-Drivers!$C$87))*$E$24</f>
        <v>0</v>
      </c>
      <c r="J54" s="24" t="n">
        <f aca="false">$D$24*$C$15*IF((J$35-$C$24)&lt;0,0,IF((J$35-$C$24)&gt;=7,1,INDEX(Drivers!$D$86:$J$86,(J$35-$C$24)+1)))*IF((J$35-$C$24)&lt;Drivers!$C$87,1,Drivers!$C$88*Drivers!$C$89^((J$35-$C$24)-Drivers!$C$87))*$E$24</f>
        <v>0</v>
      </c>
      <c r="K54" s="24" t="n">
        <f aca="false">$D$24*$C$15*IF((K$35-$C$24)&lt;0,0,IF((K$35-$C$24)&gt;=7,1,INDEX(Drivers!$D$86:$J$86,(K$35-$C$24)+1)))*IF((K$35-$C$24)&lt;Drivers!$C$87,1,Drivers!$C$88*Drivers!$C$89^((K$35-$C$24)-Drivers!$C$87))*$E$24</f>
        <v>0</v>
      </c>
      <c r="L54" s="24" t="n">
        <f aca="false">$D$24*$C$15*IF((L$35-$C$24)&lt;0,0,IF((L$35-$C$24)&gt;=7,1,INDEX(Drivers!$D$86:$J$86,(L$35-$C$24)+1)))*IF((L$35-$C$24)&lt;Drivers!$C$87,1,Drivers!$C$88*Drivers!$C$89^((L$35-$C$24)-Drivers!$C$87))*$E$24</f>
        <v>0</v>
      </c>
      <c r="M54" s="24" t="n">
        <f aca="false">$D$24*$C$15*IF((M$35-$C$24)&lt;0,0,IF((M$35-$C$24)&gt;=7,1,INDEX(Drivers!$D$86:$J$86,(M$35-$C$24)+1)))*IF((M$35-$C$24)&lt;Drivers!$C$87,1,Drivers!$C$88*Drivers!$C$89^((M$35-$C$24)-Drivers!$C$87))*$E$24</f>
        <v>0</v>
      </c>
      <c r="N54" s="24" t="n">
        <f aca="false">$D$24*$C$15*IF((N$35-$C$24)&lt;0,0,IF((N$35-$C$24)&gt;=7,1,INDEX(Drivers!$D$86:$J$86,(N$35-$C$24)+1)))*IF((N$35-$C$24)&lt;Drivers!$C$87,1,Drivers!$C$88*Drivers!$C$89^((N$35-$C$24)-Drivers!$C$87))*$E$24</f>
        <v>0</v>
      </c>
      <c r="O54" s="24" t="n">
        <f aca="false">$D$24*$C$15*IF((O$35-$C$24)&lt;0,0,IF((O$35-$C$24)&gt;=7,1,INDEX(Drivers!$D$86:$J$86,(O$35-$C$24)+1)))*IF((O$35-$C$24)&lt;Drivers!$C$87,1,Drivers!$C$88*Drivers!$C$89^((O$35-$C$24)-Drivers!$C$87))*$E$24</f>
        <v>0</v>
      </c>
      <c r="P54" s="24" t="n">
        <f aca="false">$D$24*$C$15*IF((P$35-$C$24)&lt;0,0,IF((P$35-$C$24)&gt;=7,1,INDEX(Drivers!$D$86:$J$86,(P$35-$C$24)+1)))*IF((P$35-$C$24)&lt;Drivers!$C$87,1,Drivers!$C$88*Drivers!$C$89^((P$35-$C$24)-Drivers!$C$87))*$E$24</f>
        <v>0</v>
      </c>
      <c r="Q54" s="24" t="n">
        <f aca="false">$D$24*$C$15*IF((Q$35-$C$24)&lt;0,0,IF((Q$35-$C$24)&gt;=7,1,INDEX(Drivers!$D$86:$J$86,(Q$35-$C$24)+1)))*IF((Q$35-$C$24)&lt;Drivers!$C$87,1,Drivers!$C$88*Drivers!$C$89^((Q$35-$C$24)-Drivers!$C$87))*$E$24</f>
        <v>0</v>
      </c>
      <c r="R54" s="24" t="n">
        <f aca="false">$D$24*$C$15*IF((R$35-$C$24)&lt;0,0,IF((R$35-$C$24)&gt;=7,1,INDEX(Drivers!$D$86:$J$86,(R$35-$C$24)+1)))*IF((R$35-$C$24)&lt;Drivers!$C$87,1,Drivers!$C$88*Drivers!$C$89^((R$35-$C$24)-Drivers!$C$87))*$E$24</f>
        <v>0</v>
      </c>
      <c r="S54" s="24" t="n">
        <f aca="false">$D$24*$C$15*IF((S$35-$C$24)&lt;0,0,IF((S$35-$C$24)&gt;=7,1,INDEX(Drivers!$D$86:$J$86,(S$35-$C$24)+1)))*IF((S$35-$C$24)&lt;Drivers!$C$87,1,Drivers!$C$88*Drivers!$C$89^((S$35-$C$24)-Drivers!$C$87))*$E$24</f>
        <v>0</v>
      </c>
      <c r="T54" s="24" t="n">
        <f aca="false">$D$24*$C$15*IF((T$35-$C$24)&lt;0,0,IF((T$35-$C$24)&gt;=7,1,INDEX(Drivers!$D$86:$J$86,(T$35-$C$24)+1)))*IF((T$35-$C$24)&lt;Drivers!$C$87,1,Drivers!$C$88*Drivers!$C$89^((T$35-$C$24)-Drivers!$C$87))*$E$24</f>
        <v>0</v>
      </c>
      <c r="U54" s="24" t="n">
        <f aca="false">$D$24*$C$15*IF((U$35-$C$24)&lt;0,0,IF((U$35-$C$24)&gt;=7,1,INDEX(Drivers!$D$86:$J$86,(U$35-$C$24)+1)))*IF((U$35-$C$24)&lt;Drivers!$C$87,1,Drivers!$C$88*Drivers!$C$89^((U$35-$C$24)-Drivers!$C$87))*$E$24</f>
        <v>0</v>
      </c>
    </row>
    <row r="55" customFormat="false" ht="15" hidden="false" customHeight="false" outlineLevel="0" collapsed="false">
      <c r="A55" s="9" t="s">
        <v>344</v>
      </c>
      <c r="B55" s="35" t="s">
        <v>326</v>
      </c>
      <c r="C55" s="24" t="n">
        <f aca="false">$D$25*$C$15*IF((C$35-$C$25)&lt;0,0,IF((C$35-$C$25)&gt;=7,1,INDEX(Drivers!$D$86:$J$86,(C$35-$C$25)+1)))*IF((C$35-$C$25)&lt;Drivers!$C$87,1,Drivers!$C$88*Drivers!$C$89^((C$35-$C$25)-Drivers!$C$87))*$E$25</f>
        <v>0</v>
      </c>
      <c r="D55" s="24" t="n">
        <f aca="false">$D$25*$C$15*IF((D$35-$C$25)&lt;0,0,IF((D$35-$C$25)&gt;=7,1,INDEX(Drivers!$D$86:$J$86,(D$35-$C$25)+1)))*IF((D$35-$C$25)&lt;Drivers!$C$87,1,Drivers!$C$88*Drivers!$C$89^((D$35-$C$25)-Drivers!$C$87))*$E$25</f>
        <v>0</v>
      </c>
      <c r="E55" s="24" t="n">
        <f aca="false">$D$25*$C$15*IF((E$35-$C$25)&lt;0,0,IF((E$35-$C$25)&gt;=7,1,INDEX(Drivers!$D$86:$J$86,(E$35-$C$25)+1)))*IF((E$35-$C$25)&lt;Drivers!$C$87,1,Drivers!$C$88*Drivers!$C$89^((E$35-$C$25)-Drivers!$C$87))*$E$25</f>
        <v>0</v>
      </c>
      <c r="F55" s="24" t="n">
        <f aca="false">$D$25*$C$15*IF((F$35-$C$25)&lt;0,0,IF((F$35-$C$25)&gt;=7,1,INDEX(Drivers!$D$86:$J$86,(F$35-$C$25)+1)))*IF((F$35-$C$25)&lt;Drivers!$C$87,1,Drivers!$C$88*Drivers!$C$89^((F$35-$C$25)-Drivers!$C$87))*$E$25</f>
        <v>0</v>
      </c>
      <c r="G55" s="24" t="n">
        <f aca="false">$D$25*$C$15*IF((G$35-$C$25)&lt;0,0,IF((G$35-$C$25)&gt;=7,1,INDEX(Drivers!$D$86:$J$86,(G$35-$C$25)+1)))*IF((G$35-$C$25)&lt;Drivers!$C$87,1,Drivers!$C$88*Drivers!$C$89^((G$35-$C$25)-Drivers!$C$87))*$E$25</f>
        <v>0.036864</v>
      </c>
      <c r="H55" s="24" t="n">
        <f aca="false">$D$25*$C$15*IF((H$35-$C$25)&lt;0,0,IF((H$35-$C$25)&gt;=7,1,INDEX(Drivers!$D$86:$J$86,(H$35-$C$25)+1)))*IF((H$35-$C$25)&lt;Drivers!$C$87,1,Drivers!$C$88*Drivers!$C$89^((H$35-$C$25)-Drivers!$C$87))*$E$25</f>
        <v>0.1152</v>
      </c>
      <c r="I55" s="24" t="n">
        <f aca="false">$D$25*$C$15*IF((I$35-$C$25)&lt;0,0,IF((I$35-$C$25)&gt;=7,1,INDEX(Drivers!$D$86:$J$86,(I$35-$C$25)+1)))*IF((I$35-$C$25)&lt;Drivers!$C$87,1,Drivers!$C$88*Drivers!$C$89^((I$35-$C$25)-Drivers!$C$87))*$E$25</f>
        <v>0.20736</v>
      </c>
      <c r="J55" s="24" t="n">
        <f aca="false">$D$25*$C$15*IF((J$35-$C$25)&lt;0,0,IF((J$35-$C$25)&gt;=7,1,INDEX(Drivers!$D$86:$J$86,(J$35-$C$25)+1)))*IF((J$35-$C$25)&lt;Drivers!$C$87,1,Drivers!$C$88*Drivers!$C$89^((J$35-$C$25)-Drivers!$C$87))*$E$25</f>
        <v>0.29952</v>
      </c>
      <c r="K55" s="24" t="n">
        <f aca="false">$D$25*$C$15*IF((K$35-$C$25)&lt;0,0,IF((K$35-$C$25)&gt;=7,1,INDEX(Drivers!$D$86:$J$86,(K$35-$C$25)+1)))*IF((K$35-$C$25)&lt;Drivers!$C$87,1,Drivers!$C$88*Drivers!$C$89^((K$35-$C$25)-Drivers!$C$87))*$E$25</f>
        <v>0.377856</v>
      </c>
      <c r="L55" s="24" t="n">
        <f aca="false">$D$25*$C$15*IF((L$35-$C$25)&lt;0,0,IF((L$35-$C$25)&gt;=7,1,INDEX(Drivers!$D$86:$J$86,(L$35-$C$25)+1)))*IF((L$35-$C$25)&lt;Drivers!$C$87,1,Drivers!$C$88*Drivers!$C$89^((L$35-$C$25)-Drivers!$C$87))*$E$25</f>
        <v>0.428544</v>
      </c>
      <c r="M55" s="24" t="n">
        <f aca="false">$D$25*$C$15*IF((M$35-$C$25)&lt;0,0,IF((M$35-$C$25)&gt;=7,1,INDEX(Drivers!$D$86:$J$86,(M$35-$C$25)+1)))*IF((M$35-$C$25)&lt;Drivers!$C$87,1,Drivers!$C$88*Drivers!$C$89^((M$35-$C$25)-Drivers!$C$87))*$E$25</f>
        <v>0.4608</v>
      </c>
      <c r="N55" s="24" t="n">
        <f aca="false">$D$25*$C$15*IF((N$35-$C$25)&lt;0,0,IF((N$35-$C$25)&gt;=7,1,INDEX(Drivers!$D$86:$J$86,(N$35-$C$25)+1)))*IF((N$35-$C$25)&lt;Drivers!$C$87,1,Drivers!$C$88*Drivers!$C$89^((N$35-$C$25)-Drivers!$C$87))*$E$25</f>
        <v>0.4608</v>
      </c>
      <c r="O55" s="24" t="n">
        <f aca="false">$D$25*$C$15*IF((O$35-$C$25)&lt;0,0,IF((O$35-$C$25)&gt;=7,1,INDEX(Drivers!$D$86:$J$86,(O$35-$C$25)+1)))*IF((O$35-$C$25)&lt;Drivers!$C$87,1,Drivers!$C$88*Drivers!$C$89^((O$35-$C$25)-Drivers!$C$87))*$E$25</f>
        <v>0.4608</v>
      </c>
      <c r="P55" s="24" t="n">
        <f aca="false">$D$25*$C$15*IF((P$35-$C$25)&lt;0,0,IF((P$35-$C$25)&gt;=7,1,INDEX(Drivers!$D$86:$J$86,(P$35-$C$25)+1)))*IF((P$35-$C$25)&lt;Drivers!$C$87,1,Drivers!$C$88*Drivers!$C$89^((P$35-$C$25)-Drivers!$C$87))*$E$25</f>
        <v>0.4608</v>
      </c>
      <c r="Q55" s="24" t="n">
        <f aca="false">$D$25*$C$15*IF((Q$35-$C$25)&lt;0,0,IF((Q$35-$C$25)&gt;=7,1,INDEX(Drivers!$D$86:$J$86,(Q$35-$C$25)+1)))*IF((Q$35-$C$25)&lt;Drivers!$C$87,1,Drivers!$C$88*Drivers!$C$89^((Q$35-$C$25)-Drivers!$C$87))*$E$25</f>
        <v>0.4608</v>
      </c>
      <c r="R55" s="24" t="n">
        <f aca="false">$D$25*$C$15*IF((R$35-$C$25)&lt;0,0,IF((R$35-$C$25)&gt;=7,1,INDEX(Drivers!$D$86:$J$86,(R$35-$C$25)+1)))*IF((R$35-$C$25)&lt;Drivers!$C$87,1,Drivers!$C$88*Drivers!$C$89^((R$35-$C$25)-Drivers!$C$87))*$E$25</f>
        <v>0.4608</v>
      </c>
      <c r="S55" s="24" t="n">
        <f aca="false">$D$25*$C$15*IF((S$35-$C$25)&lt;0,0,IF((S$35-$C$25)&gt;=7,1,INDEX(Drivers!$D$86:$J$86,(S$35-$C$25)+1)))*IF((S$35-$C$25)&lt;Drivers!$C$87,1,Drivers!$C$88*Drivers!$C$89^((S$35-$C$25)-Drivers!$C$87))*$E$25</f>
        <v>0.36864</v>
      </c>
      <c r="T55" s="24" t="n">
        <f aca="false">$D$25*$C$15*IF((T$35-$C$25)&lt;0,0,IF((T$35-$C$25)&gt;=7,1,INDEX(Drivers!$D$86:$J$86,(T$35-$C$25)+1)))*IF((T$35-$C$25)&lt;Drivers!$C$87,1,Drivers!$C$88*Drivers!$C$89^((T$35-$C$25)-Drivers!$C$87))*$E$25</f>
        <v>0.3575808</v>
      </c>
      <c r="U55" s="24" t="n">
        <f aca="false">$D$25*$C$15*IF((U$35-$C$25)&lt;0,0,IF((U$35-$C$25)&gt;=7,1,INDEX(Drivers!$D$86:$J$86,(U$35-$C$25)+1)))*IF((U$35-$C$25)&lt;Drivers!$C$87,1,Drivers!$C$88*Drivers!$C$89^((U$35-$C$25)-Drivers!$C$87))*$E$25</f>
        <v>0.346853376</v>
      </c>
    </row>
    <row r="56" customFormat="false" ht="15" hidden="false" customHeight="false" outlineLevel="0" collapsed="false">
      <c r="A56" s="9" t="s">
        <v>345</v>
      </c>
      <c r="B56" s="35" t="s">
        <v>326</v>
      </c>
      <c r="C56" s="24" t="n">
        <f aca="false">$D$26*$C$15*IF((C$35-$C$26)&lt;0,0,IF((C$35-$C$26)&gt;=7,1,INDEX(Drivers!$D$86:$J$86,(C$35-$C$26)+1)))*IF((C$35-$C$26)&lt;Drivers!$C$87,1,Drivers!$C$88*Drivers!$C$89^((C$35-$C$26)-Drivers!$C$87))*$E$26</f>
        <v>0</v>
      </c>
      <c r="D56" s="24" t="n">
        <f aca="false">$D$26*$C$15*IF((D$35-$C$26)&lt;0,0,IF((D$35-$C$26)&gt;=7,1,INDEX(Drivers!$D$86:$J$86,(D$35-$C$26)+1)))*IF((D$35-$C$26)&lt;Drivers!$C$87,1,Drivers!$C$88*Drivers!$C$89^((D$35-$C$26)-Drivers!$C$87))*$E$26</f>
        <v>0</v>
      </c>
      <c r="E56" s="24" t="n">
        <f aca="false">$D$26*$C$15*IF((E$35-$C$26)&lt;0,0,IF((E$35-$C$26)&gt;=7,1,INDEX(Drivers!$D$86:$J$86,(E$35-$C$26)+1)))*IF((E$35-$C$26)&lt;Drivers!$C$87,1,Drivers!$C$88*Drivers!$C$89^((E$35-$C$26)-Drivers!$C$87))*$E$26</f>
        <v>0</v>
      </c>
      <c r="F56" s="24" t="n">
        <f aca="false">$D$26*$C$15*IF((F$35-$C$26)&lt;0,0,IF((F$35-$C$26)&gt;=7,1,INDEX(Drivers!$D$86:$J$86,(F$35-$C$26)+1)))*IF((F$35-$C$26)&lt;Drivers!$C$87,1,Drivers!$C$88*Drivers!$C$89^((F$35-$C$26)-Drivers!$C$87))*$E$26</f>
        <v>0</v>
      </c>
      <c r="G56" s="24" t="n">
        <f aca="false">$D$26*$C$15*IF((G$35-$C$26)&lt;0,0,IF((G$35-$C$26)&gt;=7,1,INDEX(Drivers!$D$86:$J$86,(G$35-$C$26)+1)))*IF((G$35-$C$26)&lt;Drivers!$C$87,1,Drivers!$C$88*Drivers!$C$89^((G$35-$C$26)-Drivers!$C$87))*$E$26</f>
        <v>0</v>
      </c>
      <c r="H56" s="24" t="n">
        <f aca="false">$D$26*$C$15*IF((H$35-$C$26)&lt;0,0,IF((H$35-$C$26)&gt;=7,1,INDEX(Drivers!$D$86:$J$86,(H$35-$C$26)+1)))*IF((H$35-$C$26)&lt;Drivers!$C$87,1,Drivers!$C$88*Drivers!$C$89^((H$35-$C$26)-Drivers!$C$87))*$E$26</f>
        <v>0</v>
      </c>
      <c r="I56" s="24" t="n">
        <f aca="false">$D$26*$C$15*IF((I$35-$C$26)&lt;0,0,IF((I$35-$C$26)&gt;=7,1,INDEX(Drivers!$D$86:$J$86,(I$35-$C$26)+1)))*IF((I$35-$C$26)&lt;Drivers!$C$87,1,Drivers!$C$88*Drivers!$C$89^((I$35-$C$26)-Drivers!$C$87))*$E$26</f>
        <v>0</v>
      </c>
      <c r="J56" s="24" t="n">
        <f aca="false">$D$26*$C$15*IF((J$35-$C$26)&lt;0,0,IF((J$35-$C$26)&gt;=7,1,INDEX(Drivers!$D$86:$J$86,(J$35-$C$26)+1)))*IF((J$35-$C$26)&lt;Drivers!$C$87,1,Drivers!$C$88*Drivers!$C$89^((J$35-$C$26)-Drivers!$C$87))*$E$26</f>
        <v>0.012288</v>
      </c>
      <c r="K56" s="24" t="n">
        <f aca="false">$D$26*$C$15*IF((K$35-$C$26)&lt;0,0,IF((K$35-$C$26)&gt;=7,1,INDEX(Drivers!$D$86:$J$86,(K$35-$C$26)+1)))*IF((K$35-$C$26)&lt;Drivers!$C$87,1,Drivers!$C$88*Drivers!$C$89^((K$35-$C$26)-Drivers!$C$87))*$E$26</f>
        <v>0.0384</v>
      </c>
      <c r="L56" s="24" t="n">
        <f aca="false">$D$26*$C$15*IF((L$35-$C$26)&lt;0,0,IF((L$35-$C$26)&gt;=7,1,INDEX(Drivers!$D$86:$J$86,(L$35-$C$26)+1)))*IF((L$35-$C$26)&lt;Drivers!$C$87,1,Drivers!$C$88*Drivers!$C$89^((L$35-$C$26)-Drivers!$C$87))*$E$26</f>
        <v>0.06912</v>
      </c>
      <c r="M56" s="24" t="n">
        <f aca="false">$D$26*$C$15*IF((M$35-$C$26)&lt;0,0,IF((M$35-$C$26)&gt;=7,1,INDEX(Drivers!$D$86:$J$86,(M$35-$C$26)+1)))*IF((M$35-$C$26)&lt;Drivers!$C$87,1,Drivers!$C$88*Drivers!$C$89^((M$35-$C$26)-Drivers!$C$87))*$E$26</f>
        <v>0.09984</v>
      </c>
      <c r="N56" s="24" t="n">
        <f aca="false">$D$26*$C$15*IF((N$35-$C$26)&lt;0,0,IF((N$35-$C$26)&gt;=7,1,INDEX(Drivers!$D$86:$J$86,(N$35-$C$26)+1)))*IF((N$35-$C$26)&lt;Drivers!$C$87,1,Drivers!$C$88*Drivers!$C$89^((N$35-$C$26)-Drivers!$C$87))*$E$26</f>
        <v>0.125952</v>
      </c>
      <c r="O56" s="24" t="n">
        <f aca="false">$D$26*$C$15*IF((O$35-$C$26)&lt;0,0,IF((O$35-$C$26)&gt;=7,1,INDEX(Drivers!$D$86:$J$86,(O$35-$C$26)+1)))*IF((O$35-$C$26)&lt;Drivers!$C$87,1,Drivers!$C$88*Drivers!$C$89^((O$35-$C$26)-Drivers!$C$87))*$E$26</f>
        <v>0.142848</v>
      </c>
      <c r="P56" s="24" t="n">
        <f aca="false">$D$26*$C$15*IF((P$35-$C$26)&lt;0,0,IF((P$35-$C$26)&gt;=7,1,INDEX(Drivers!$D$86:$J$86,(P$35-$C$26)+1)))*IF((P$35-$C$26)&lt;Drivers!$C$87,1,Drivers!$C$88*Drivers!$C$89^((P$35-$C$26)-Drivers!$C$87))*$E$26</f>
        <v>0.1536</v>
      </c>
      <c r="Q56" s="24" t="n">
        <f aca="false">$D$26*$C$15*IF((Q$35-$C$26)&lt;0,0,IF((Q$35-$C$26)&gt;=7,1,INDEX(Drivers!$D$86:$J$86,(Q$35-$C$26)+1)))*IF((Q$35-$C$26)&lt;Drivers!$C$87,1,Drivers!$C$88*Drivers!$C$89^((Q$35-$C$26)-Drivers!$C$87))*$E$26</f>
        <v>0.1536</v>
      </c>
      <c r="R56" s="24" t="n">
        <f aca="false">$D$26*$C$15*IF((R$35-$C$26)&lt;0,0,IF((R$35-$C$26)&gt;=7,1,INDEX(Drivers!$D$86:$J$86,(R$35-$C$26)+1)))*IF((R$35-$C$26)&lt;Drivers!$C$87,1,Drivers!$C$88*Drivers!$C$89^((R$35-$C$26)-Drivers!$C$87))*$E$26</f>
        <v>0.1536</v>
      </c>
      <c r="S56" s="24" t="n">
        <f aca="false">$D$26*$C$15*IF((S$35-$C$26)&lt;0,0,IF((S$35-$C$26)&gt;=7,1,INDEX(Drivers!$D$86:$J$86,(S$35-$C$26)+1)))*IF((S$35-$C$26)&lt;Drivers!$C$87,1,Drivers!$C$88*Drivers!$C$89^((S$35-$C$26)-Drivers!$C$87))*$E$26</f>
        <v>0.1536</v>
      </c>
      <c r="T56" s="24" t="n">
        <f aca="false">$D$26*$C$15*IF((T$35-$C$26)&lt;0,0,IF((T$35-$C$26)&gt;=7,1,INDEX(Drivers!$D$86:$J$86,(T$35-$C$26)+1)))*IF((T$35-$C$26)&lt;Drivers!$C$87,1,Drivers!$C$88*Drivers!$C$89^((T$35-$C$26)-Drivers!$C$87))*$E$26</f>
        <v>0.1536</v>
      </c>
      <c r="U56" s="24" t="n">
        <f aca="false">$D$26*$C$15*IF((U$35-$C$26)&lt;0,0,IF((U$35-$C$26)&gt;=7,1,INDEX(Drivers!$D$86:$J$86,(U$35-$C$26)+1)))*IF((U$35-$C$26)&lt;Drivers!$C$87,1,Drivers!$C$88*Drivers!$C$89^((U$35-$C$26)-Drivers!$C$87))*$E$26</f>
        <v>0.1536</v>
      </c>
    </row>
    <row r="57" customFormat="false" ht="15" hidden="false" customHeight="false" outlineLevel="0" collapsed="false">
      <c r="A57" s="9" t="s">
        <v>346</v>
      </c>
      <c r="B57" s="35" t="s">
        <v>326</v>
      </c>
      <c r="C57" s="24" t="n">
        <f aca="false">$D$27*$C$15*IF((C$35-$C$27)&lt;0,0,IF((C$35-$C$27)&gt;=7,1,INDEX(Drivers!$D$86:$J$86,(C$35-$C$27)+1)))*IF((C$35-$C$27)&lt;Drivers!$C$87,1,Drivers!$C$88*Drivers!$C$89^((C$35-$C$27)-Drivers!$C$87))*$E$27</f>
        <v>0</v>
      </c>
      <c r="D57" s="24" t="n">
        <f aca="false">$D$27*$C$15*IF((D$35-$C$27)&lt;0,0,IF((D$35-$C$27)&gt;=7,1,INDEX(Drivers!$D$86:$J$86,(D$35-$C$27)+1)))*IF((D$35-$C$27)&lt;Drivers!$C$87,1,Drivers!$C$88*Drivers!$C$89^((D$35-$C$27)-Drivers!$C$87))*$E$27</f>
        <v>0</v>
      </c>
      <c r="E57" s="24" t="n">
        <f aca="false">$D$27*$C$15*IF((E$35-$C$27)&lt;0,0,IF((E$35-$C$27)&gt;=7,1,INDEX(Drivers!$D$86:$J$86,(E$35-$C$27)+1)))*IF((E$35-$C$27)&lt;Drivers!$C$87,1,Drivers!$C$88*Drivers!$C$89^((E$35-$C$27)-Drivers!$C$87))*$E$27</f>
        <v>0</v>
      </c>
      <c r="F57" s="24" t="n">
        <f aca="false">$D$27*$C$15*IF((F$35-$C$27)&lt;0,0,IF((F$35-$C$27)&gt;=7,1,INDEX(Drivers!$D$86:$J$86,(F$35-$C$27)+1)))*IF((F$35-$C$27)&lt;Drivers!$C$87,1,Drivers!$C$88*Drivers!$C$89^((F$35-$C$27)-Drivers!$C$87))*$E$27</f>
        <v>0</v>
      </c>
      <c r="G57" s="24" t="n">
        <f aca="false">$D$27*$C$15*IF((G$35-$C$27)&lt;0,0,IF((G$35-$C$27)&gt;=7,1,INDEX(Drivers!$D$86:$J$86,(G$35-$C$27)+1)))*IF((G$35-$C$27)&lt;Drivers!$C$87,1,Drivers!$C$88*Drivers!$C$89^((G$35-$C$27)-Drivers!$C$87))*$E$27</f>
        <v>0</v>
      </c>
      <c r="H57" s="24" t="n">
        <f aca="false">$D$27*$C$15*IF((H$35-$C$27)&lt;0,0,IF((H$35-$C$27)&gt;=7,1,INDEX(Drivers!$D$86:$J$86,(H$35-$C$27)+1)))*IF((H$35-$C$27)&lt;Drivers!$C$87,1,Drivers!$C$88*Drivers!$C$89^((H$35-$C$27)-Drivers!$C$87))*$E$27</f>
        <v>0</v>
      </c>
      <c r="I57" s="24" t="n">
        <f aca="false">$D$27*$C$15*IF((I$35-$C$27)&lt;0,0,IF((I$35-$C$27)&gt;=7,1,INDEX(Drivers!$D$86:$J$86,(I$35-$C$27)+1)))*IF((I$35-$C$27)&lt;Drivers!$C$87,1,Drivers!$C$88*Drivers!$C$89^((I$35-$C$27)-Drivers!$C$87))*$E$27</f>
        <v>0</v>
      </c>
      <c r="J57" s="24" t="n">
        <f aca="false">$D$27*$C$15*IF((J$35-$C$27)&lt;0,0,IF((J$35-$C$27)&gt;=7,1,INDEX(Drivers!$D$86:$J$86,(J$35-$C$27)+1)))*IF((J$35-$C$27)&lt;Drivers!$C$87,1,Drivers!$C$88*Drivers!$C$89^((J$35-$C$27)-Drivers!$C$87))*$E$27</f>
        <v>0</v>
      </c>
      <c r="K57" s="24" t="n">
        <f aca="false">$D$27*$C$15*IF((K$35-$C$27)&lt;0,0,IF((K$35-$C$27)&gt;=7,1,INDEX(Drivers!$D$86:$J$86,(K$35-$C$27)+1)))*IF((K$35-$C$27)&lt;Drivers!$C$87,1,Drivers!$C$88*Drivers!$C$89^((K$35-$C$27)-Drivers!$C$87))*$E$27</f>
        <v>0.01792</v>
      </c>
      <c r="L57" s="24" t="n">
        <f aca="false">$D$27*$C$15*IF((L$35-$C$27)&lt;0,0,IF((L$35-$C$27)&gt;=7,1,INDEX(Drivers!$D$86:$J$86,(L$35-$C$27)+1)))*IF((L$35-$C$27)&lt;Drivers!$C$87,1,Drivers!$C$88*Drivers!$C$89^((L$35-$C$27)-Drivers!$C$87))*$E$27</f>
        <v>0.056</v>
      </c>
      <c r="M57" s="24" t="n">
        <f aca="false">$D$27*$C$15*IF((M$35-$C$27)&lt;0,0,IF((M$35-$C$27)&gt;=7,1,INDEX(Drivers!$D$86:$J$86,(M$35-$C$27)+1)))*IF((M$35-$C$27)&lt;Drivers!$C$87,1,Drivers!$C$88*Drivers!$C$89^((M$35-$C$27)-Drivers!$C$87))*$E$27</f>
        <v>0.1008</v>
      </c>
      <c r="N57" s="24" t="n">
        <f aca="false">$D$27*$C$15*IF((N$35-$C$27)&lt;0,0,IF((N$35-$C$27)&gt;=7,1,INDEX(Drivers!$D$86:$J$86,(N$35-$C$27)+1)))*IF((N$35-$C$27)&lt;Drivers!$C$87,1,Drivers!$C$88*Drivers!$C$89^((N$35-$C$27)-Drivers!$C$87))*$E$27</f>
        <v>0.1456</v>
      </c>
      <c r="O57" s="24" t="n">
        <f aca="false">$D$27*$C$15*IF((O$35-$C$27)&lt;0,0,IF((O$35-$C$27)&gt;=7,1,INDEX(Drivers!$D$86:$J$86,(O$35-$C$27)+1)))*IF((O$35-$C$27)&lt;Drivers!$C$87,1,Drivers!$C$88*Drivers!$C$89^((O$35-$C$27)-Drivers!$C$87))*$E$27</f>
        <v>0.18368</v>
      </c>
      <c r="P57" s="24" t="n">
        <f aca="false">$D$27*$C$15*IF((P$35-$C$27)&lt;0,0,IF((P$35-$C$27)&gt;=7,1,INDEX(Drivers!$D$86:$J$86,(P$35-$C$27)+1)))*IF((P$35-$C$27)&lt;Drivers!$C$87,1,Drivers!$C$88*Drivers!$C$89^((P$35-$C$27)-Drivers!$C$87))*$E$27</f>
        <v>0.20832</v>
      </c>
      <c r="Q57" s="24" t="n">
        <f aca="false">$D$27*$C$15*IF((Q$35-$C$27)&lt;0,0,IF((Q$35-$C$27)&gt;=7,1,INDEX(Drivers!$D$86:$J$86,(Q$35-$C$27)+1)))*IF((Q$35-$C$27)&lt;Drivers!$C$87,1,Drivers!$C$88*Drivers!$C$89^((Q$35-$C$27)-Drivers!$C$87))*$E$27</f>
        <v>0.224</v>
      </c>
      <c r="R57" s="24" t="n">
        <f aca="false">$D$27*$C$15*IF((R$35-$C$27)&lt;0,0,IF((R$35-$C$27)&gt;=7,1,INDEX(Drivers!$D$86:$J$86,(R$35-$C$27)+1)))*IF((R$35-$C$27)&lt;Drivers!$C$87,1,Drivers!$C$88*Drivers!$C$89^((R$35-$C$27)-Drivers!$C$87))*$E$27</f>
        <v>0.224</v>
      </c>
      <c r="S57" s="24" t="n">
        <f aca="false">$D$27*$C$15*IF((S$35-$C$27)&lt;0,0,IF((S$35-$C$27)&gt;=7,1,INDEX(Drivers!$D$86:$J$86,(S$35-$C$27)+1)))*IF((S$35-$C$27)&lt;Drivers!$C$87,1,Drivers!$C$88*Drivers!$C$89^((S$35-$C$27)-Drivers!$C$87))*$E$27</f>
        <v>0.224</v>
      </c>
      <c r="T57" s="24" t="n">
        <f aca="false">$D$27*$C$15*IF((T$35-$C$27)&lt;0,0,IF((T$35-$C$27)&gt;=7,1,INDEX(Drivers!$D$86:$J$86,(T$35-$C$27)+1)))*IF((T$35-$C$27)&lt;Drivers!$C$87,1,Drivers!$C$88*Drivers!$C$89^((T$35-$C$27)-Drivers!$C$87))*$E$27</f>
        <v>0.224</v>
      </c>
      <c r="U57" s="24" t="n">
        <f aca="false">$D$27*$C$15*IF((U$35-$C$27)&lt;0,0,IF((U$35-$C$27)&gt;=7,1,INDEX(Drivers!$D$86:$J$86,(U$35-$C$27)+1)))*IF((U$35-$C$27)&lt;Drivers!$C$87,1,Drivers!$C$88*Drivers!$C$89^((U$35-$C$27)-Drivers!$C$87))*$E$27</f>
        <v>0.224</v>
      </c>
    </row>
    <row r="58" customFormat="false" ht="15" hidden="false" customHeight="false" outlineLevel="0" collapsed="false">
      <c r="A58" s="9" t="s">
        <v>347</v>
      </c>
      <c r="B58" s="35" t="s">
        <v>326</v>
      </c>
      <c r="C58" s="24" t="n">
        <f aca="false">$D$28*$C$15*IF((C$35-$C$28)&lt;0,0,IF((C$35-$C$28)&gt;=7,1,INDEX(Drivers!$D$86:$J$86,(C$35-$C$28)+1)))*IF((C$35-$C$28)&lt;Drivers!$C$87,1,Drivers!$C$88*Drivers!$C$89^((C$35-$C$28)-Drivers!$C$87))*$E$28</f>
        <v>0</v>
      </c>
      <c r="D58" s="24" t="n">
        <f aca="false">$D$28*$C$15*IF((D$35-$C$28)&lt;0,0,IF((D$35-$C$28)&gt;=7,1,INDEX(Drivers!$D$86:$J$86,(D$35-$C$28)+1)))*IF((D$35-$C$28)&lt;Drivers!$C$87,1,Drivers!$C$88*Drivers!$C$89^((D$35-$C$28)-Drivers!$C$87))*$E$28</f>
        <v>0</v>
      </c>
      <c r="E58" s="24" t="n">
        <f aca="false">$D$28*$C$15*IF((E$35-$C$28)&lt;0,0,IF((E$35-$C$28)&gt;=7,1,INDEX(Drivers!$D$86:$J$86,(E$35-$C$28)+1)))*IF((E$35-$C$28)&lt;Drivers!$C$87,1,Drivers!$C$88*Drivers!$C$89^((E$35-$C$28)-Drivers!$C$87))*$E$28</f>
        <v>0</v>
      </c>
      <c r="F58" s="24" t="n">
        <f aca="false">$D$28*$C$15*IF((F$35-$C$28)&lt;0,0,IF((F$35-$C$28)&gt;=7,1,INDEX(Drivers!$D$86:$J$86,(F$35-$C$28)+1)))*IF((F$35-$C$28)&lt;Drivers!$C$87,1,Drivers!$C$88*Drivers!$C$89^((F$35-$C$28)-Drivers!$C$87))*$E$28</f>
        <v>0</v>
      </c>
      <c r="G58" s="24" t="n">
        <f aca="false">$D$28*$C$15*IF((G$35-$C$28)&lt;0,0,IF((G$35-$C$28)&gt;=7,1,INDEX(Drivers!$D$86:$J$86,(G$35-$C$28)+1)))*IF((G$35-$C$28)&lt;Drivers!$C$87,1,Drivers!$C$88*Drivers!$C$89^((G$35-$C$28)-Drivers!$C$87))*$E$28</f>
        <v>0.006144</v>
      </c>
      <c r="H58" s="24" t="n">
        <f aca="false">$D$28*$C$15*IF((H$35-$C$28)&lt;0,0,IF((H$35-$C$28)&gt;=7,1,INDEX(Drivers!$D$86:$J$86,(H$35-$C$28)+1)))*IF((H$35-$C$28)&lt;Drivers!$C$87,1,Drivers!$C$88*Drivers!$C$89^((H$35-$C$28)-Drivers!$C$87))*$E$28</f>
        <v>0.0192</v>
      </c>
      <c r="I58" s="24" t="n">
        <f aca="false">$D$28*$C$15*IF((I$35-$C$28)&lt;0,0,IF((I$35-$C$28)&gt;=7,1,INDEX(Drivers!$D$86:$J$86,(I$35-$C$28)+1)))*IF((I$35-$C$28)&lt;Drivers!$C$87,1,Drivers!$C$88*Drivers!$C$89^((I$35-$C$28)-Drivers!$C$87))*$E$28</f>
        <v>0.03456</v>
      </c>
      <c r="J58" s="24" t="n">
        <f aca="false">$D$28*$C$15*IF((J$35-$C$28)&lt;0,0,IF((J$35-$C$28)&gt;=7,1,INDEX(Drivers!$D$86:$J$86,(J$35-$C$28)+1)))*IF((J$35-$C$28)&lt;Drivers!$C$87,1,Drivers!$C$88*Drivers!$C$89^((J$35-$C$28)-Drivers!$C$87))*$E$28</f>
        <v>0.04992</v>
      </c>
      <c r="K58" s="24" t="n">
        <f aca="false">$D$28*$C$15*IF((K$35-$C$28)&lt;0,0,IF((K$35-$C$28)&gt;=7,1,INDEX(Drivers!$D$86:$J$86,(K$35-$C$28)+1)))*IF((K$35-$C$28)&lt;Drivers!$C$87,1,Drivers!$C$88*Drivers!$C$89^((K$35-$C$28)-Drivers!$C$87))*$E$28</f>
        <v>0.062976</v>
      </c>
      <c r="L58" s="24" t="n">
        <f aca="false">$D$28*$C$15*IF((L$35-$C$28)&lt;0,0,IF((L$35-$C$28)&gt;=7,1,INDEX(Drivers!$D$86:$J$86,(L$35-$C$28)+1)))*IF((L$35-$C$28)&lt;Drivers!$C$87,1,Drivers!$C$88*Drivers!$C$89^((L$35-$C$28)-Drivers!$C$87))*$E$28</f>
        <v>0.071424</v>
      </c>
      <c r="M58" s="24" t="n">
        <f aca="false">$D$28*$C$15*IF((M$35-$C$28)&lt;0,0,IF((M$35-$C$28)&gt;=7,1,INDEX(Drivers!$D$86:$J$86,(M$35-$C$28)+1)))*IF((M$35-$C$28)&lt;Drivers!$C$87,1,Drivers!$C$88*Drivers!$C$89^((M$35-$C$28)-Drivers!$C$87))*$E$28</f>
        <v>0.0768</v>
      </c>
      <c r="N58" s="24" t="n">
        <f aca="false">$D$28*$C$15*IF((N$35-$C$28)&lt;0,0,IF((N$35-$C$28)&gt;=7,1,INDEX(Drivers!$D$86:$J$86,(N$35-$C$28)+1)))*IF((N$35-$C$28)&lt;Drivers!$C$87,1,Drivers!$C$88*Drivers!$C$89^((N$35-$C$28)-Drivers!$C$87))*$E$28</f>
        <v>0.0768</v>
      </c>
      <c r="O58" s="24" t="n">
        <f aca="false">$D$28*$C$15*IF((O$35-$C$28)&lt;0,0,IF((O$35-$C$28)&gt;=7,1,INDEX(Drivers!$D$86:$J$86,(O$35-$C$28)+1)))*IF((O$35-$C$28)&lt;Drivers!$C$87,1,Drivers!$C$88*Drivers!$C$89^((O$35-$C$28)-Drivers!$C$87))*$E$28</f>
        <v>0.0768</v>
      </c>
      <c r="P58" s="24" t="n">
        <f aca="false">$D$28*$C$15*IF((P$35-$C$28)&lt;0,0,IF((P$35-$C$28)&gt;=7,1,INDEX(Drivers!$D$86:$J$86,(P$35-$C$28)+1)))*IF((P$35-$C$28)&lt;Drivers!$C$87,1,Drivers!$C$88*Drivers!$C$89^((P$35-$C$28)-Drivers!$C$87))*$E$28</f>
        <v>0.0768</v>
      </c>
      <c r="Q58" s="24" t="n">
        <f aca="false">$D$28*$C$15*IF((Q$35-$C$28)&lt;0,0,IF((Q$35-$C$28)&gt;=7,1,INDEX(Drivers!$D$86:$J$86,(Q$35-$C$28)+1)))*IF((Q$35-$C$28)&lt;Drivers!$C$87,1,Drivers!$C$88*Drivers!$C$89^((Q$35-$C$28)-Drivers!$C$87))*$E$28</f>
        <v>0.0768</v>
      </c>
      <c r="R58" s="24" t="n">
        <f aca="false">$D$28*$C$15*IF((R$35-$C$28)&lt;0,0,IF((R$35-$C$28)&gt;=7,1,INDEX(Drivers!$D$86:$J$86,(R$35-$C$28)+1)))*IF((R$35-$C$28)&lt;Drivers!$C$87,1,Drivers!$C$88*Drivers!$C$89^((R$35-$C$28)-Drivers!$C$87))*$E$28</f>
        <v>0.0768</v>
      </c>
      <c r="S58" s="24" t="n">
        <f aca="false">$D$28*$C$15*IF((S$35-$C$28)&lt;0,0,IF((S$35-$C$28)&gt;=7,1,INDEX(Drivers!$D$86:$J$86,(S$35-$C$28)+1)))*IF((S$35-$C$28)&lt;Drivers!$C$87,1,Drivers!$C$88*Drivers!$C$89^((S$35-$C$28)-Drivers!$C$87))*$E$28</f>
        <v>0.06144</v>
      </c>
      <c r="T58" s="24" t="n">
        <f aca="false">$D$28*$C$15*IF((T$35-$C$28)&lt;0,0,IF((T$35-$C$28)&gt;=7,1,INDEX(Drivers!$D$86:$J$86,(T$35-$C$28)+1)))*IF((T$35-$C$28)&lt;Drivers!$C$87,1,Drivers!$C$88*Drivers!$C$89^((T$35-$C$28)-Drivers!$C$87))*$E$28</f>
        <v>0.0595968</v>
      </c>
      <c r="U58" s="24" t="n">
        <f aca="false">$D$28*$C$15*IF((U$35-$C$28)&lt;0,0,IF((U$35-$C$28)&gt;=7,1,INDEX(Drivers!$D$86:$J$86,(U$35-$C$28)+1)))*IF((U$35-$C$28)&lt;Drivers!$C$87,1,Drivers!$C$88*Drivers!$C$89^((U$35-$C$28)-Drivers!$C$87))*$E$28</f>
        <v>0.057808896</v>
      </c>
    </row>
    <row r="59" customFormat="false" ht="15" hidden="false" customHeight="false" outlineLevel="0" collapsed="false">
      <c r="A59" s="9" t="s">
        <v>348</v>
      </c>
      <c r="B59" s="35" t="s">
        <v>326</v>
      </c>
      <c r="C59" s="24" t="n">
        <f aca="false">$D$29*$C$15*IF((C$35-$C$29)&lt;0,0,IF((C$35-$C$29)&gt;=7,1,INDEX(Drivers!$D$86:$J$86,(C$35-$C$29)+1)))*IF((C$35-$C$29)&lt;Drivers!$C$87,1,Drivers!$C$88*Drivers!$C$89^((C$35-$C$29)-Drivers!$C$87))*$E$29</f>
        <v>0</v>
      </c>
      <c r="D59" s="24" t="n">
        <f aca="false">$D$29*$C$15*IF((D$35-$C$29)&lt;0,0,IF((D$35-$C$29)&gt;=7,1,INDEX(Drivers!$D$86:$J$86,(D$35-$C$29)+1)))*IF((D$35-$C$29)&lt;Drivers!$C$87,1,Drivers!$C$88*Drivers!$C$89^((D$35-$C$29)-Drivers!$C$87))*$E$29</f>
        <v>0</v>
      </c>
      <c r="E59" s="24" t="n">
        <f aca="false">$D$29*$C$15*IF((E$35-$C$29)&lt;0,0,IF((E$35-$C$29)&gt;=7,1,INDEX(Drivers!$D$86:$J$86,(E$35-$C$29)+1)))*IF((E$35-$C$29)&lt;Drivers!$C$87,1,Drivers!$C$88*Drivers!$C$89^((E$35-$C$29)-Drivers!$C$87))*$E$29</f>
        <v>0</v>
      </c>
      <c r="F59" s="24" t="n">
        <f aca="false">$D$29*$C$15*IF((F$35-$C$29)&lt;0,0,IF((F$35-$C$29)&gt;=7,1,INDEX(Drivers!$D$86:$J$86,(F$35-$C$29)+1)))*IF((F$35-$C$29)&lt;Drivers!$C$87,1,Drivers!$C$88*Drivers!$C$89^((F$35-$C$29)-Drivers!$C$87))*$E$29</f>
        <v>0</v>
      </c>
      <c r="G59" s="24" t="n">
        <f aca="false">$D$29*$C$15*IF((G$35-$C$29)&lt;0,0,IF((G$35-$C$29)&gt;=7,1,INDEX(Drivers!$D$86:$J$86,(G$35-$C$29)+1)))*IF((G$35-$C$29)&lt;Drivers!$C$87,1,Drivers!$C$88*Drivers!$C$89^((G$35-$C$29)-Drivers!$C$87))*$E$29</f>
        <v>0</v>
      </c>
      <c r="H59" s="24" t="n">
        <f aca="false">$D$29*$C$15*IF((H$35-$C$29)&lt;0,0,IF((H$35-$C$29)&gt;=7,1,INDEX(Drivers!$D$86:$J$86,(H$35-$C$29)+1)))*IF((H$35-$C$29)&lt;Drivers!$C$87,1,Drivers!$C$88*Drivers!$C$89^((H$35-$C$29)-Drivers!$C$87))*$E$29</f>
        <v>0</v>
      </c>
      <c r="I59" s="24" t="n">
        <f aca="false">$D$29*$C$15*IF((I$35-$C$29)&lt;0,0,IF((I$35-$C$29)&gt;=7,1,INDEX(Drivers!$D$86:$J$86,(I$35-$C$29)+1)))*IF((I$35-$C$29)&lt;Drivers!$C$87,1,Drivers!$C$88*Drivers!$C$89^((I$35-$C$29)-Drivers!$C$87))*$E$29</f>
        <v>0.004096</v>
      </c>
      <c r="J59" s="24" t="n">
        <f aca="false">$D$29*$C$15*IF((J$35-$C$29)&lt;0,0,IF((J$35-$C$29)&gt;=7,1,INDEX(Drivers!$D$86:$J$86,(J$35-$C$29)+1)))*IF((J$35-$C$29)&lt;Drivers!$C$87,1,Drivers!$C$88*Drivers!$C$89^((J$35-$C$29)-Drivers!$C$87))*$E$29</f>
        <v>0.0128</v>
      </c>
      <c r="K59" s="24" t="n">
        <f aca="false">$D$29*$C$15*IF((K$35-$C$29)&lt;0,0,IF((K$35-$C$29)&gt;=7,1,INDEX(Drivers!$D$86:$J$86,(K$35-$C$29)+1)))*IF((K$35-$C$29)&lt;Drivers!$C$87,1,Drivers!$C$88*Drivers!$C$89^((K$35-$C$29)-Drivers!$C$87))*$E$29</f>
        <v>0.02304</v>
      </c>
      <c r="L59" s="24" t="n">
        <f aca="false">$D$29*$C$15*IF((L$35-$C$29)&lt;0,0,IF((L$35-$C$29)&gt;=7,1,INDEX(Drivers!$D$86:$J$86,(L$35-$C$29)+1)))*IF((L$35-$C$29)&lt;Drivers!$C$87,1,Drivers!$C$88*Drivers!$C$89^((L$35-$C$29)-Drivers!$C$87))*$E$29</f>
        <v>0.03328</v>
      </c>
      <c r="M59" s="24" t="n">
        <f aca="false">$D$29*$C$15*IF((M$35-$C$29)&lt;0,0,IF((M$35-$C$29)&gt;=7,1,INDEX(Drivers!$D$86:$J$86,(M$35-$C$29)+1)))*IF((M$35-$C$29)&lt;Drivers!$C$87,1,Drivers!$C$88*Drivers!$C$89^((M$35-$C$29)-Drivers!$C$87))*$E$29</f>
        <v>0.041984</v>
      </c>
      <c r="N59" s="24" t="n">
        <f aca="false">$D$29*$C$15*IF((N$35-$C$29)&lt;0,0,IF((N$35-$C$29)&gt;=7,1,INDEX(Drivers!$D$86:$J$86,(N$35-$C$29)+1)))*IF((N$35-$C$29)&lt;Drivers!$C$87,1,Drivers!$C$88*Drivers!$C$89^((N$35-$C$29)-Drivers!$C$87))*$E$29</f>
        <v>0.047616</v>
      </c>
      <c r="O59" s="24" t="n">
        <f aca="false">$D$29*$C$15*IF((O$35-$C$29)&lt;0,0,IF((O$35-$C$29)&gt;=7,1,INDEX(Drivers!$D$86:$J$86,(O$35-$C$29)+1)))*IF((O$35-$C$29)&lt;Drivers!$C$87,1,Drivers!$C$88*Drivers!$C$89^((O$35-$C$29)-Drivers!$C$87))*$E$29</f>
        <v>0.0512</v>
      </c>
      <c r="P59" s="24" t="n">
        <f aca="false">$D$29*$C$15*IF((P$35-$C$29)&lt;0,0,IF((P$35-$C$29)&gt;=7,1,INDEX(Drivers!$D$86:$J$86,(P$35-$C$29)+1)))*IF((P$35-$C$29)&lt;Drivers!$C$87,1,Drivers!$C$88*Drivers!$C$89^((P$35-$C$29)-Drivers!$C$87))*$E$29</f>
        <v>0.0512</v>
      </c>
      <c r="Q59" s="24" t="n">
        <f aca="false">$D$29*$C$15*IF((Q$35-$C$29)&lt;0,0,IF((Q$35-$C$29)&gt;=7,1,INDEX(Drivers!$D$86:$J$86,(Q$35-$C$29)+1)))*IF((Q$35-$C$29)&lt;Drivers!$C$87,1,Drivers!$C$88*Drivers!$C$89^((Q$35-$C$29)-Drivers!$C$87))*$E$29</f>
        <v>0.0512</v>
      </c>
      <c r="R59" s="24" t="n">
        <f aca="false">$D$29*$C$15*IF((R$35-$C$29)&lt;0,0,IF((R$35-$C$29)&gt;=7,1,INDEX(Drivers!$D$86:$J$86,(R$35-$C$29)+1)))*IF((R$35-$C$29)&lt;Drivers!$C$87,1,Drivers!$C$88*Drivers!$C$89^((R$35-$C$29)-Drivers!$C$87))*$E$29</f>
        <v>0.0512</v>
      </c>
      <c r="S59" s="24" t="n">
        <f aca="false">$D$29*$C$15*IF((S$35-$C$29)&lt;0,0,IF((S$35-$C$29)&gt;=7,1,INDEX(Drivers!$D$86:$J$86,(S$35-$C$29)+1)))*IF((S$35-$C$29)&lt;Drivers!$C$87,1,Drivers!$C$88*Drivers!$C$89^((S$35-$C$29)-Drivers!$C$87))*$E$29</f>
        <v>0.0512</v>
      </c>
      <c r="T59" s="24" t="n">
        <f aca="false">$D$29*$C$15*IF((T$35-$C$29)&lt;0,0,IF((T$35-$C$29)&gt;=7,1,INDEX(Drivers!$D$86:$J$86,(T$35-$C$29)+1)))*IF((T$35-$C$29)&lt;Drivers!$C$87,1,Drivers!$C$88*Drivers!$C$89^((T$35-$C$29)-Drivers!$C$87))*$E$29</f>
        <v>0.0512</v>
      </c>
      <c r="U59" s="24" t="n">
        <f aca="false">$D$29*$C$15*IF((U$35-$C$29)&lt;0,0,IF((U$35-$C$29)&gt;=7,1,INDEX(Drivers!$D$86:$J$86,(U$35-$C$29)+1)))*IF((U$35-$C$29)&lt;Drivers!$C$87,1,Drivers!$C$88*Drivers!$C$89^((U$35-$C$29)-Drivers!$C$87))*$E$29</f>
        <v>0.04096</v>
      </c>
    </row>
    <row r="60" customFormat="false" ht="15" hidden="false" customHeight="false" outlineLevel="0" collapsed="false">
      <c r="A60" s="9" t="s">
        <v>349</v>
      </c>
      <c r="B60" s="35" t="s">
        <v>326</v>
      </c>
      <c r="C60" s="24" t="n">
        <f aca="false">$D$30*$C$15*IF((C$35-$C$30)&lt;0,0,IF((C$35-$C$30)&gt;=7,1,INDEX(Drivers!$D$86:$J$86,(C$35-$C$30)+1)))*IF((C$35-$C$30)&lt;Drivers!$C$87,1,Drivers!$C$88*Drivers!$C$89^((C$35-$C$30)-Drivers!$C$87))*$E$30</f>
        <v>0</v>
      </c>
      <c r="D60" s="24" t="n">
        <f aca="false">$D$30*$C$15*IF((D$35-$C$30)&lt;0,0,IF((D$35-$C$30)&gt;=7,1,INDEX(Drivers!$D$86:$J$86,(D$35-$C$30)+1)))*IF((D$35-$C$30)&lt;Drivers!$C$87,1,Drivers!$C$88*Drivers!$C$89^((D$35-$C$30)-Drivers!$C$87))*$E$30</f>
        <v>0</v>
      </c>
      <c r="E60" s="24" t="n">
        <f aca="false">$D$30*$C$15*IF((E$35-$C$30)&lt;0,0,IF((E$35-$C$30)&gt;=7,1,INDEX(Drivers!$D$86:$J$86,(E$35-$C$30)+1)))*IF((E$35-$C$30)&lt;Drivers!$C$87,1,Drivers!$C$88*Drivers!$C$89^((E$35-$C$30)-Drivers!$C$87))*$E$30</f>
        <v>0</v>
      </c>
      <c r="F60" s="24" t="n">
        <f aca="false">$D$30*$C$15*IF((F$35-$C$30)&lt;0,0,IF((F$35-$C$30)&gt;=7,1,INDEX(Drivers!$D$86:$J$86,(F$35-$C$30)+1)))*IF((F$35-$C$30)&lt;Drivers!$C$87,1,Drivers!$C$88*Drivers!$C$89^((F$35-$C$30)-Drivers!$C$87))*$E$30</f>
        <v>0</v>
      </c>
      <c r="G60" s="24" t="n">
        <f aca="false">$D$30*$C$15*IF((G$35-$C$30)&lt;0,0,IF((G$35-$C$30)&gt;=7,1,INDEX(Drivers!$D$86:$J$86,(G$35-$C$30)+1)))*IF((G$35-$C$30)&lt;Drivers!$C$87,1,Drivers!$C$88*Drivers!$C$89^((G$35-$C$30)-Drivers!$C$87))*$E$30</f>
        <v>0</v>
      </c>
      <c r="H60" s="24" t="n">
        <f aca="false">$D$30*$C$15*IF((H$35-$C$30)&lt;0,0,IF((H$35-$C$30)&gt;=7,1,INDEX(Drivers!$D$86:$J$86,(H$35-$C$30)+1)))*IF((H$35-$C$30)&lt;Drivers!$C$87,1,Drivers!$C$88*Drivers!$C$89^((H$35-$C$30)-Drivers!$C$87))*$E$30</f>
        <v>0</v>
      </c>
      <c r="I60" s="24" t="n">
        <f aca="false">$D$30*$C$15*IF((I$35-$C$30)&lt;0,0,IF((I$35-$C$30)&gt;=7,1,INDEX(Drivers!$D$86:$J$86,(I$35-$C$30)+1)))*IF((I$35-$C$30)&lt;Drivers!$C$87,1,Drivers!$C$88*Drivers!$C$89^((I$35-$C$30)-Drivers!$C$87))*$E$30</f>
        <v>0</v>
      </c>
      <c r="J60" s="24" t="n">
        <f aca="false">$D$30*$C$15*IF((J$35-$C$30)&lt;0,0,IF((J$35-$C$30)&gt;=7,1,INDEX(Drivers!$D$86:$J$86,(J$35-$C$30)+1)))*IF((J$35-$C$30)&lt;Drivers!$C$87,1,Drivers!$C$88*Drivers!$C$89^((J$35-$C$30)-Drivers!$C$87))*$E$30</f>
        <v>0.003072</v>
      </c>
      <c r="K60" s="24" t="n">
        <f aca="false">$D$30*$C$15*IF((K$35-$C$30)&lt;0,0,IF((K$35-$C$30)&gt;=7,1,INDEX(Drivers!$D$86:$J$86,(K$35-$C$30)+1)))*IF((K$35-$C$30)&lt;Drivers!$C$87,1,Drivers!$C$88*Drivers!$C$89^((K$35-$C$30)-Drivers!$C$87))*$E$30</f>
        <v>0.0096</v>
      </c>
      <c r="L60" s="24" t="n">
        <f aca="false">$D$30*$C$15*IF((L$35-$C$30)&lt;0,0,IF((L$35-$C$30)&gt;=7,1,INDEX(Drivers!$D$86:$J$86,(L$35-$C$30)+1)))*IF((L$35-$C$30)&lt;Drivers!$C$87,1,Drivers!$C$88*Drivers!$C$89^((L$35-$C$30)-Drivers!$C$87))*$E$30</f>
        <v>0.01728</v>
      </c>
      <c r="M60" s="24" t="n">
        <f aca="false">$D$30*$C$15*IF((M$35-$C$30)&lt;0,0,IF((M$35-$C$30)&gt;=7,1,INDEX(Drivers!$D$86:$J$86,(M$35-$C$30)+1)))*IF((M$35-$C$30)&lt;Drivers!$C$87,1,Drivers!$C$88*Drivers!$C$89^((M$35-$C$30)-Drivers!$C$87))*$E$30</f>
        <v>0.02496</v>
      </c>
      <c r="N60" s="24" t="n">
        <f aca="false">$D$30*$C$15*IF((N$35-$C$30)&lt;0,0,IF((N$35-$C$30)&gt;=7,1,INDEX(Drivers!$D$86:$J$86,(N$35-$C$30)+1)))*IF((N$35-$C$30)&lt;Drivers!$C$87,1,Drivers!$C$88*Drivers!$C$89^((N$35-$C$30)-Drivers!$C$87))*$E$30</f>
        <v>0.031488</v>
      </c>
      <c r="O60" s="24" t="n">
        <f aca="false">$D$30*$C$15*IF((O$35-$C$30)&lt;0,0,IF((O$35-$C$30)&gt;=7,1,INDEX(Drivers!$D$86:$J$86,(O$35-$C$30)+1)))*IF((O$35-$C$30)&lt;Drivers!$C$87,1,Drivers!$C$88*Drivers!$C$89^((O$35-$C$30)-Drivers!$C$87))*$E$30</f>
        <v>0.035712</v>
      </c>
      <c r="P60" s="24" t="n">
        <f aca="false">$D$30*$C$15*IF((P$35-$C$30)&lt;0,0,IF((P$35-$C$30)&gt;=7,1,INDEX(Drivers!$D$86:$J$86,(P$35-$C$30)+1)))*IF((P$35-$C$30)&lt;Drivers!$C$87,1,Drivers!$C$88*Drivers!$C$89^((P$35-$C$30)-Drivers!$C$87))*$E$30</f>
        <v>0.0384</v>
      </c>
      <c r="Q60" s="24" t="n">
        <f aca="false">$D$30*$C$15*IF((Q$35-$C$30)&lt;0,0,IF((Q$35-$C$30)&gt;=7,1,INDEX(Drivers!$D$86:$J$86,(Q$35-$C$30)+1)))*IF((Q$35-$C$30)&lt;Drivers!$C$87,1,Drivers!$C$88*Drivers!$C$89^((Q$35-$C$30)-Drivers!$C$87))*$E$30</f>
        <v>0.0384</v>
      </c>
      <c r="R60" s="24" t="n">
        <f aca="false">$D$30*$C$15*IF((R$35-$C$30)&lt;0,0,IF((R$35-$C$30)&gt;=7,1,INDEX(Drivers!$D$86:$J$86,(R$35-$C$30)+1)))*IF((R$35-$C$30)&lt;Drivers!$C$87,1,Drivers!$C$88*Drivers!$C$89^((R$35-$C$30)-Drivers!$C$87))*$E$30</f>
        <v>0.0384</v>
      </c>
      <c r="S60" s="24" t="n">
        <f aca="false">$D$30*$C$15*IF((S$35-$C$30)&lt;0,0,IF((S$35-$C$30)&gt;=7,1,INDEX(Drivers!$D$86:$J$86,(S$35-$C$30)+1)))*IF((S$35-$C$30)&lt;Drivers!$C$87,1,Drivers!$C$88*Drivers!$C$89^((S$35-$C$30)-Drivers!$C$87))*$E$30</f>
        <v>0.0384</v>
      </c>
      <c r="T60" s="24" t="n">
        <f aca="false">$D$30*$C$15*IF((T$35-$C$30)&lt;0,0,IF((T$35-$C$30)&gt;=7,1,INDEX(Drivers!$D$86:$J$86,(T$35-$C$30)+1)))*IF((T$35-$C$30)&lt;Drivers!$C$87,1,Drivers!$C$88*Drivers!$C$89^((T$35-$C$30)-Drivers!$C$87))*$E$30</f>
        <v>0.0384</v>
      </c>
      <c r="U60" s="24" t="n">
        <f aca="false">$D$30*$C$15*IF((U$35-$C$30)&lt;0,0,IF((U$35-$C$30)&gt;=7,1,INDEX(Drivers!$D$86:$J$86,(U$35-$C$30)+1)))*IF((U$35-$C$30)&lt;Drivers!$C$87,1,Drivers!$C$88*Drivers!$C$89^((U$35-$C$30)-Drivers!$C$87))*$E$30</f>
        <v>0.0384</v>
      </c>
    </row>
    <row r="61" customFormat="false" ht="15" hidden="false" customHeight="false" outlineLevel="0" collapsed="false">
      <c r="A61" s="9" t="s">
        <v>350</v>
      </c>
      <c r="B61" s="35" t="s">
        <v>326</v>
      </c>
      <c r="C61" s="24" t="n">
        <f aca="false">$D$31*$C$15*IF((C$35-$C$31)&lt;0,0,IF((C$35-$C$31)&gt;=7,1,INDEX(Drivers!$D$86:$J$86,(C$35-$C$31)+1)))*IF((C$35-$C$31)&lt;Drivers!$C$87,1,Drivers!$C$88*Drivers!$C$89^((C$35-$C$31)-Drivers!$C$87))*$E$31</f>
        <v>0</v>
      </c>
      <c r="D61" s="24" t="n">
        <f aca="false">$D$31*$C$15*IF((D$35-$C$31)&lt;0,0,IF((D$35-$C$31)&gt;=7,1,INDEX(Drivers!$D$86:$J$86,(D$35-$C$31)+1)))*IF((D$35-$C$31)&lt;Drivers!$C$87,1,Drivers!$C$88*Drivers!$C$89^((D$35-$C$31)-Drivers!$C$87))*$E$31</f>
        <v>0</v>
      </c>
      <c r="E61" s="24" t="n">
        <f aca="false">$D$31*$C$15*IF((E$35-$C$31)&lt;0,0,IF((E$35-$C$31)&gt;=7,1,INDEX(Drivers!$D$86:$J$86,(E$35-$C$31)+1)))*IF((E$35-$C$31)&lt;Drivers!$C$87,1,Drivers!$C$88*Drivers!$C$89^((E$35-$C$31)-Drivers!$C$87))*$E$31</f>
        <v>0</v>
      </c>
      <c r="F61" s="24" t="n">
        <f aca="false">$D$31*$C$15*IF((F$35-$C$31)&lt;0,0,IF((F$35-$C$31)&gt;=7,1,INDEX(Drivers!$D$86:$J$86,(F$35-$C$31)+1)))*IF((F$35-$C$31)&lt;Drivers!$C$87,1,Drivers!$C$88*Drivers!$C$89^((F$35-$C$31)-Drivers!$C$87))*$E$31</f>
        <v>0</v>
      </c>
      <c r="G61" s="24" t="n">
        <f aca="false">$D$31*$C$15*IF((G$35-$C$31)&lt;0,0,IF((G$35-$C$31)&gt;=7,1,INDEX(Drivers!$D$86:$J$86,(G$35-$C$31)+1)))*IF((G$35-$C$31)&lt;Drivers!$C$87,1,Drivers!$C$88*Drivers!$C$89^((G$35-$C$31)-Drivers!$C$87))*$E$31</f>
        <v>0.0032768</v>
      </c>
      <c r="H61" s="24" t="n">
        <f aca="false">$D$31*$C$15*IF((H$35-$C$31)&lt;0,0,IF((H$35-$C$31)&gt;=7,1,INDEX(Drivers!$D$86:$J$86,(H$35-$C$31)+1)))*IF((H$35-$C$31)&lt;Drivers!$C$87,1,Drivers!$C$88*Drivers!$C$89^((H$35-$C$31)-Drivers!$C$87))*$E$31</f>
        <v>0.01024</v>
      </c>
      <c r="I61" s="24" t="n">
        <f aca="false">$D$31*$C$15*IF((I$35-$C$31)&lt;0,0,IF((I$35-$C$31)&gt;=7,1,INDEX(Drivers!$D$86:$J$86,(I$35-$C$31)+1)))*IF((I$35-$C$31)&lt;Drivers!$C$87,1,Drivers!$C$88*Drivers!$C$89^((I$35-$C$31)-Drivers!$C$87))*$E$31</f>
        <v>0.018432</v>
      </c>
      <c r="J61" s="24" t="n">
        <f aca="false">$D$31*$C$15*IF((J$35-$C$31)&lt;0,0,IF((J$35-$C$31)&gt;=7,1,INDEX(Drivers!$D$86:$J$86,(J$35-$C$31)+1)))*IF((J$35-$C$31)&lt;Drivers!$C$87,1,Drivers!$C$88*Drivers!$C$89^((J$35-$C$31)-Drivers!$C$87))*$E$31</f>
        <v>0.026624</v>
      </c>
      <c r="K61" s="24" t="n">
        <f aca="false">$D$31*$C$15*IF((K$35-$C$31)&lt;0,0,IF((K$35-$C$31)&gt;=7,1,INDEX(Drivers!$D$86:$J$86,(K$35-$C$31)+1)))*IF((K$35-$C$31)&lt;Drivers!$C$87,1,Drivers!$C$88*Drivers!$C$89^((K$35-$C$31)-Drivers!$C$87))*$E$31</f>
        <v>0.0335872</v>
      </c>
      <c r="L61" s="24" t="n">
        <f aca="false">$D$31*$C$15*IF((L$35-$C$31)&lt;0,0,IF((L$35-$C$31)&gt;=7,1,INDEX(Drivers!$D$86:$J$86,(L$35-$C$31)+1)))*IF((L$35-$C$31)&lt;Drivers!$C$87,1,Drivers!$C$88*Drivers!$C$89^((L$35-$C$31)-Drivers!$C$87))*$E$31</f>
        <v>0.0380928</v>
      </c>
      <c r="M61" s="24" t="n">
        <f aca="false">$D$31*$C$15*IF((M$35-$C$31)&lt;0,0,IF((M$35-$C$31)&gt;=7,1,INDEX(Drivers!$D$86:$J$86,(M$35-$C$31)+1)))*IF((M$35-$C$31)&lt;Drivers!$C$87,1,Drivers!$C$88*Drivers!$C$89^((M$35-$C$31)-Drivers!$C$87))*$E$31</f>
        <v>0.04096</v>
      </c>
      <c r="N61" s="24" t="n">
        <f aca="false">$D$31*$C$15*IF((N$35-$C$31)&lt;0,0,IF((N$35-$C$31)&gt;=7,1,INDEX(Drivers!$D$86:$J$86,(N$35-$C$31)+1)))*IF((N$35-$C$31)&lt;Drivers!$C$87,1,Drivers!$C$88*Drivers!$C$89^((N$35-$C$31)-Drivers!$C$87))*$E$31</f>
        <v>0.04096</v>
      </c>
      <c r="O61" s="24" t="n">
        <f aca="false">$D$31*$C$15*IF((O$35-$C$31)&lt;0,0,IF((O$35-$C$31)&gt;=7,1,INDEX(Drivers!$D$86:$J$86,(O$35-$C$31)+1)))*IF((O$35-$C$31)&lt;Drivers!$C$87,1,Drivers!$C$88*Drivers!$C$89^((O$35-$C$31)-Drivers!$C$87))*$E$31</f>
        <v>0.04096</v>
      </c>
      <c r="P61" s="24" t="n">
        <f aca="false">$D$31*$C$15*IF((P$35-$C$31)&lt;0,0,IF((P$35-$C$31)&gt;=7,1,INDEX(Drivers!$D$86:$J$86,(P$35-$C$31)+1)))*IF((P$35-$C$31)&lt;Drivers!$C$87,1,Drivers!$C$88*Drivers!$C$89^((P$35-$C$31)-Drivers!$C$87))*$E$31</f>
        <v>0.04096</v>
      </c>
      <c r="Q61" s="24" t="n">
        <f aca="false">$D$31*$C$15*IF((Q$35-$C$31)&lt;0,0,IF((Q$35-$C$31)&gt;=7,1,INDEX(Drivers!$D$86:$J$86,(Q$35-$C$31)+1)))*IF((Q$35-$C$31)&lt;Drivers!$C$87,1,Drivers!$C$88*Drivers!$C$89^((Q$35-$C$31)-Drivers!$C$87))*$E$31</f>
        <v>0.04096</v>
      </c>
      <c r="R61" s="24" t="n">
        <f aca="false">$D$31*$C$15*IF((R$35-$C$31)&lt;0,0,IF((R$35-$C$31)&gt;=7,1,INDEX(Drivers!$D$86:$J$86,(R$35-$C$31)+1)))*IF((R$35-$C$31)&lt;Drivers!$C$87,1,Drivers!$C$88*Drivers!$C$89^((R$35-$C$31)-Drivers!$C$87))*$E$31</f>
        <v>0.04096</v>
      </c>
      <c r="S61" s="24" t="n">
        <f aca="false">$D$31*$C$15*IF((S$35-$C$31)&lt;0,0,IF((S$35-$C$31)&gt;=7,1,INDEX(Drivers!$D$86:$J$86,(S$35-$C$31)+1)))*IF((S$35-$C$31)&lt;Drivers!$C$87,1,Drivers!$C$88*Drivers!$C$89^((S$35-$C$31)-Drivers!$C$87))*$E$31</f>
        <v>0.032768</v>
      </c>
      <c r="T61" s="24" t="n">
        <f aca="false">$D$31*$C$15*IF((T$35-$C$31)&lt;0,0,IF((T$35-$C$31)&gt;=7,1,INDEX(Drivers!$D$86:$J$86,(T$35-$C$31)+1)))*IF((T$35-$C$31)&lt;Drivers!$C$87,1,Drivers!$C$88*Drivers!$C$89^((T$35-$C$31)-Drivers!$C$87))*$E$31</f>
        <v>0.03178496</v>
      </c>
      <c r="U61" s="24" t="n">
        <f aca="false">$D$31*$C$15*IF((U$35-$C$31)&lt;0,0,IF((U$35-$C$31)&gt;=7,1,INDEX(Drivers!$D$86:$J$86,(U$35-$C$31)+1)))*IF((U$35-$C$31)&lt;Drivers!$C$87,1,Drivers!$C$88*Drivers!$C$89^((U$35-$C$31)-Drivers!$C$87))*$E$31</f>
        <v>0.0308314112</v>
      </c>
    </row>
    <row r="62" customFormat="false" ht="15" hidden="false" customHeight="false" outlineLevel="0" collapsed="false">
      <c r="A62" s="9" t="s">
        <v>351</v>
      </c>
      <c r="B62" s="35" t="s">
        <v>326</v>
      </c>
      <c r="C62" s="24" t="n">
        <f aca="false">$D$32*$C$15*IF((C$35-$C$32)&lt;0,0,IF((C$35-$C$32)&gt;=7,1,INDEX(Drivers!$D$86:$J$86,(C$35-$C$32)+1)))*IF((C$35-$C$32)&lt;Drivers!$C$87,1,Drivers!$C$88*Drivers!$C$89^((C$35-$C$32)-Drivers!$C$87))*$E$32</f>
        <v>0</v>
      </c>
      <c r="D62" s="24" t="n">
        <f aca="false">$D$32*$C$15*IF((D$35-$C$32)&lt;0,0,IF((D$35-$C$32)&gt;=7,1,INDEX(Drivers!$D$86:$J$86,(D$35-$C$32)+1)))*IF((D$35-$C$32)&lt;Drivers!$C$87,1,Drivers!$C$88*Drivers!$C$89^((D$35-$C$32)-Drivers!$C$87))*$E$32</f>
        <v>0</v>
      </c>
      <c r="E62" s="24" t="n">
        <f aca="false">$D$32*$C$15*IF((E$35-$C$32)&lt;0,0,IF((E$35-$C$32)&gt;=7,1,INDEX(Drivers!$D$86:$J$86,(E$35-$C$32)+1)))*IF((E$35-$C$32)&lt;Drivers!$C$87,1,Drivers!$C$88*Drivers!$C$89^((E$35-$C$32)-Drivers!$C$87))*$E$32</f>
        <v>0</v>
      </c>
      <c r="F62" s="24" t="n">
        <f aca="false">$D$32*$C$15*IF((F$35-$C$32)&lt;0,0,IF((F$35-$C$32)&gt;=7,1,INDEX(Drivers!$D$86:$J$86,(F$35-$C$32)+1)))*IF((F$35-$C$32)&lt;Drivers!$C$87,1,Drivers!$C$88*Drivers!$C$89^((F$35-$C$32)-Drivers!$C$87))*$E$32</f>
        <v>0</v>
      </c>
      <c r="G62" s="24" t="n">
        <f aca="false">$D$32*$C$15*IF((G$35-$C$32)&lt;0,0,IF((G$35-$C$32)&gt;=7,1,INDEX(Drivers!$D$86:$J$86,(G$35-$C$32)+1)))*IF((G$35-$C$32)&lt;Drivers!$C$87,1,Drivers!$C$88*Drivers!$C$89^((G$35-$C$32)-Drivers!$C$87))*$E$32</f>
        <v>0</v>
      </c>
      <c r="H62" s="24" t="n">
        <f aca="false">$D$32*$C$15*IF((H$35-$C$32)&lt;0,0,IF((H$35-$C$32)&gt;=7,1,INDEX(Drivers!$D$86:$J$86,(H$35-$C$32)+1)))*IF((H$35-$C$32)&lt;Drivers!$C$87,1,Drivers!$C$88*Drivers!$C$89^((H$35-$C$32)-Drivers!$C$87))*$E$32</f>
        <v>0.0036864</v>
      </c>
      <c r="I62" s="24" t="n">
        <f aca="false">$D$32*$C$15*IF((I$35-$C$32)&lt;0,0,IF((I$35-$C$32)&gt;=7,1,INDEX(Drivers!$D$86:$J$86,(I$35-$C$32)+1)))*IF((I$35-$C$32)&lt;Drivers!$C$87,1,Drivers!$C$88*Drivers!$C$89^((I$35-$C$32)-Drivers!$C$87))*$E$32</f>
        <v>0.01152</v>
      </c>
      <c r="J62" s="24" t="n">
        <f aca="false">$D$32*$C$15*IF((J$35-$C$32)&lt;0,0,IF((J$35-$C$32)&gt;=7,1,INDEX(Drivers!$D$86:$J$86,(J$35-$C$32)+1)))*IF((J$35-$C$32)&lt;Drivers!$C$87,1,Drivers!$C$88*Drivers!$C$89^((J$35-$C$32)-Drivers!$C$87))*$E$32</f>
        <v>0.020736</v>
      </c>
      <c r="K62" s="24" t="n">
        <f aca="false">$D$32*$C$15*IF((K$35-$C$32)&lt;0,0,IF((K$35-$C$32)&gt;=7,1,INDEX(Drivers!$D$86:$J$86,(K$35-$C$32)+1)))*IF((K$35-$C$32)&lt;Drivers!$C$87,1,Drivers!$C$88*Drivers!$C$89^((K$35-$C$32)-Drivers!$C$87))*$E$32</f>
        <v>0.029952</v>
      </c>
      <c r="L62" s="24" t="n">
        <f aca="false">$D$32*$C$15*IF((L$35-$C$32)&lt;0,0,IF((L$35-$C$32)&gt;=7,1,INDEX(Drivers!$D$86:$J$86,(L$35-$C$32)+1)))*IF((L$35-$C$32)&lt;Drivers!$C$87,1,Drivers!$C$88*Drivers!$C$89^((L$35-$C$32)-Drivers!$C$87))*$E$32</f>
        <v>0.0377856</v>
      </c>
      <c r="M62" s="24" t="n">
        <f aca="false">$D$32*$C$15*IF((M$35-$C$32)&lt;0,0,IF((M$35-$C$32)&gt;=7,1,INDEX(Drivers!$D$86:$J$86,(M$35-$C$32)+1)))*IF((M$35-$C$32)&lt;Drivers!$C$87,1,Drivers!$C$88*Drivers!$C$89^((M$35-$C$32)-Drivers!$C$87))*$E$32</f>
        <v>0.0428544</v>
      </c>
      <c r="N62" s="24" t="n">
        <f aca="false">$D$32*$C$15*IF((N$35-$C$32)&lt;0,0,IF((N$35-$C$32)&gt;=7,1,INDEX(Drivers!$D$86:$J$86,(N$35-$C$32)+1)))*IF((N$35-$C$32)&lt;Drivers!$C$87,1,Drivers!$C$88*Drivers!$C$89^((N$35-$C$32)-Drivers!$C$87))*$E$32</f>
        <v>0.04608</v>
      </c>
      <c r="O62" s="24" t="n">
        <f aca="false">$D$32*$C$15*IF((O$35-$C$32)&lt;0,0,IF((O$35-$C$32)&gt;=7,1,INDEX(Drivers!$D$86:$J$86,(O$35-$C$32)+1)))*IF((O$35-$C$32)&lt;Drivers!$C$87,1,Drivers!$C$88*Drivers!$C$89^((O$35-$C$32)-Drivers!$C$87))*$E$32</f>
        <v>0.04608</v>
      </c>
      <c r="P62" s="24" t="n">
        <f aca="false">$D$32*$C$15*IF((P$35-$C$32)&lt;0,0,IF((P$35-$C$32)&gt;=7,1,INDEX(Drivers!$D$86:$J$86,(P$35-$C$32)+1)))*IF((P$35-$C$32)&lt;Drivers!$C$87,1,Drivers!$C$88*Drivers!$C$89^((P$35-$C$32)-Drivers!$C$87))*$E$32</f>
        <v>0.04608</v>
      </c>
      <c r="Q62" s="24" t="n">
        <f aca="false">$D$32*$C$15*IF((Q$35-$C$32)&lt;0,0,IF((Q$35-$C$32)&gt;=7,1,INDEX(Drivers!$D$86:$J$86,(Q$35-$C$32)+1)))*IF((Q$35-$C$32)&lt;Drivers!$C$87,1,Drivers!$C$88*Drivers!$C$89^((Q$35-$C$32)-Drivers!$C$87))*$E$32</f>
        <v>0.04608</v>
      </c>
      <c r="R62" s="24" t="n">
        <f aca="false">$D$32*$C$15*IF((R$35-$C$32)&lt;0,0,IF((R$35-$C$32)&gt;=7,1,INDEX(Drivers!$D$86:$J$86,(R$35-$C$32)+1)))*IF((R$35-$C$32)&lt;Drivers!$C$87,1,Drivers!$C$88*Drivers!$C$89^((R$35-$C$32)-Drivers!$C$87))*$E$32</f>
        <v>0.04608</v>
      </c>
      <c r="S62" s="24" t="n">
        <f aca="false">$D$32*$C$15*IF((S$35-$C$32)&lt;0,0,IF((S$35-$C$32)&gt;=7,1,INDEX(Drivers!$D$86:$J$86,(S$35-$C$32)+1)))*IF((S$35-$C$32)&lt;Drivers!$C$87,1,Drivers!$C$88*Drivers!$C$89^((S$35-$C$32)-Drivers!$C$87))*$E$32</f>
        <v>0.04608</v>
      </c>
      <c r="T62" s="24" t="n">
        <f aca="false">$D$32*$C$15*IF((T$35-$C$32)&lt;0,0,IF((T$35-$C$32)&gt;=7,1,INDEX(Drivers!$D$86:$J$86,(T$35-$C$32)+1)))*IF((T$35-$C$32)&lt;Drivers!$C$87,1,Drivers!$C$88*Drivers!$C$89^((T$35-$C$32)-Drivers!$C$87))*$E$32</f>
        <v>0.036864</v>
      </c>
      <c r="U62" s="24" t="n">
        <f aca="false">$D$32*$C$15*IF((U$35-$C$32)&lt;0,0,IF((U$35-$C$32)&gt;=7,1,INDEX(Drivers!$D$86:$J$86,(U$35-$C$32)+1)))*IF((U$35-$C$32)&lt;Drivers!$C$87,1,Drivers!$C$88*Drivers!$C$89^((U$35-$C$32)-Drivers!$C$87))*$E$32</f>
        <v>0.03575808</v>
      </c>
    </row>
    <row r="63" customFormat="false" ht="15" hidden="false" customHeight="false" outlineLevel="0" collapsed="false">
      <c r="A63" s="9" t="s">
        <v>352</v>
      </c>
      <c r="B63" s="35" t="s">
        <v>326</v>
      </c>
      <c r="C63" s="24" t="n">
        <f aca="false">$D$33*$C$15*IF((C$35-$C$33)&lt;0,0,IF((C$35-$C$33)&gt;=7,1,INDEX(Drivers!$D$86:$J$86,(C$35-$C$33)+1)))*IF((C$35-$C$33)&lt;Drivers!$C$87,1,Drivers!$C$88*Drivers!$C$89^((C$35-$C$33)-Drivers!$C$87))*$E$33</f>
        <v>0</v>
      </c>
      <c r="D63" s="24" t="n">
        <f aca="false">$D$33*$C$15*IF((D$35-$C$33)&lt;0,0,IF((D$35-$C$33)&gt;=7,1,INDEX(Drivers!$D$86:$J$86,(D$35-$C$33)+1)))*IF((D$35-$C$33)&lt;Drivers!$C$87,1,Drivers!$C$88*Drivers!$C$89^((D$35-$C$33)-Drivers!$C$87))*$E$33</f>
        <v>0</v>
      </c>
      <c r="E63" s="24" t="n">
        <f aca="false">$D$33*$C$15*IF((E$35-$C$33)&lt;0,0,IF((E$35-$C$33)&gt;=7,1,INDEX(Drivers!$D$86:$J$86,(E$35-$C$33)+1)))*IF((E$35-$C$33)&lt;Drivers!$C$87,1,Drivers!$C$88*Drivers!$C$89^((E$35-$C$33)-Drivers!$C$87))*$E$33</f>
        <v>0</v>
      </c>
      <c r="F63" s="24" t="n">
        <f aca="false">$D$33*$C$15*IF((F$35-$C$33)&lt;0,0,IF((F$35-$C$33)&gt;=7,1,INDEX(Drivers!$D$86:$J$86,(F$35-$C$33)+1)))*IF((F$35-$C$33)&lt;Drivers!$C$87,1,Drivers!$C$88*Drivers!$C$89^((F$35-$C$33)-Drivers!$C$87))*$E$33</f>
        <v>0</v>
      </c>
      <c r="G63" s="24" t="n">
        <f aca="false">$D$33*$C$15*IF((G$35-$C$33)&lt;0,0,IF((G$35-$C$33)&gt;=7,1,INDEX(Drivers!$D$86:$J$86,(G$35-$C$33)+1)))*IF((G$35-$C$33)&lt;Drivers!$C$87,1,Drivers!$C$88*Drivers!$C$89^((G$35-$C$33)-Drivers!$C$87))*$E$33</f>
        <v>0</v>
      </c>
      <c r="H63" s="24" t="n">
        <f aca="false">$D$33*$C$15*IF((H$35-$C$33)&lt;0,0,IF((H$35-$C$33)&gt;=7,1,INDEX(Drivers!$D$86:$J$86,(H$35-$C$33)+1)))*IF((H$35-$C$33)&lt;Drivers!$C$87,1,Drivers!$C$88*Drivers!$C$89^((H$35-$C$33)-Drivers!$C$87))*$E$33</f>
        <v>0</v>
      </c>
      <c r="I63" s="24" t="n">
        <f aca="false">$D$33*$C$15*IF((I$35-$C$33)&lt;0,0,IF((I$35-$C$33)&gt;=7,1,INDEX(Drivers!$D$86:$J$86,(I$35-$C$33)+1)))*IF((I$35-$C$33)&lt;Drivers!$C$87,1,Drivers!$C$88*Drivers!$C$89^((I$35-$C$33)-Drivers!$C$87))*$E$33</f>
        <v>0</v>
      </c>
      <c r="J63" s="24" t="n">
        <f aca="false">$D$33*$C$15*IF((J$35-$C$33)&lt;0,0,IF((J$35-$C$33)&gt;=7,1,INDEX(Drivers!$D$86:$J$86,(J$35-$C$33)+1)))*IF((J$35-$C$33)&lt;Drivers!$C$87,1,Drivers!$C$88*Drivers!$C$89^((J$35-$C$33)-Drivers!$C$87))*$E$33</f>
        <v>0</v>
      </c>
      <c r="K63" s="24" t="n">
        <f aca="false">$D$33*$C$15*IF((K$35-$C$33)&lt;0,0,IF((K$35-$C$33)&gt;=7,1,INDEX(Drivers!$D$86:$J$86,(K$35-$C$33)+1)))*IF((K$35-$C$33)&lt;Drivers!$C$87,1,Drivers!$C$88*Drivers!$C$89^((K$35-$C$33)-Drivers!$C$87))*$E$33</f>
        <v>0.012288</v>
      </c>
      <c r="L63" s="24" t="n">
        <f aca="false">$D$33*$C$15*IF((L$35-$C$33)&lt;0,0,IF((L$35-$C$33)&gt;=7,1,INDEX(Drivers!$D$86:$J$86,(L$35-$C$33)+1)))*IF((L$35-$C$33)&lt;Drivers!$C$87,1,Drivers!$C$88*Drivers!$C$89^((L$35-$C$33)-Drivers!$C$87))*$E$33</f>
        <v>0.0384</v>
      </c>
      <c r="M63" s="24" t="n">
        <f aca="false">$D$33*$C$15*IF((M$35-$C$33)&lt;0,0,IF((M$35-$C$33)&gt;=7,1,INDEX(Drivers!$D$86:$J$86,(M$35-$C$33)+1)))*IF((M$35-$C$33)&lt;Drivers!$C$87,1,Drivers!$C$88*Drivers!$C$89^((M$35-$C$33)-Drivers!$C$87))*$E$33</f>
        <v>0.06912</v>
      </c>
      <c r="N63" s="24" t="n">
        <f aca="false">$D$33*$C$15*IF((N$35-$C$33)&lt;0,0,IF((N$35-$C$33)&gt;=7,1,INDEX(Drivers!$D$86:$J$86,(N$35-$C$33)+1)))*IF((N$35-$C$33)&lt;Drivers!$C$87,1,Drivers!$C$88*Drivers!$C$89^((N$35-$C$33)-Drivers!$C$87))*$E$33</f>
        <v>0.09984</v>
      </c>
      <c r="O63" s="24" t="n">
        <f aca="false">$D$33*$C$15*IF((O$35-$C$33)&lt;0,0,IF((O$35-$C$33)&gt;=7,1,INDEX(Drivers!$D$86:$J$86,(O$35-$C$33)+1)))*IF((O$35-$C$33)&lt;Drivers!$C$87,1,Drivers!$C$88*Drivers!$C$89^((O$35-$C$33)-Drivers!$C$87))*$E$33</f>
        <v>0.125952</v>
      </c>
      <c r="P63" s="24" t="n">
        <f aca="false">$D$33*$C$15*IF((P$35-$C$33)&lt;0,0,IF((P$35-$C$33)&gt;=7,1,INDEX(Drivers!$D$86:$J$86,(P$35-$C$33)+1)))*IF((P$35-$C$33)&lt;Drivers!$C$87,1,Drivers!$C$88*Drivers!$C$89^((P$35-$C$33)-Drivers!$C$87))*$E$33</f>
        <v>0.142848</v>
      </c>
      <c r="Q63" s="24" t="n">
        <f aca="false">$D$33*$C$15*IF((Q$35-$C$33)&lt;0,0,IF((Q$35-$C$33)&gt;=7,1,INDEX(Drivers!$D$86:$J$86,(Q$35-$C$33)+1)))*IF((Q$35-$C$33)&lt;Drivers!$C$87,1,Drivers!$C$88*Drivers!$C$89^((Q$35-$C$33)-Drivers!$C$87))*$E$33</f>
        <v>0.1536</v>
      </c>
      <c r="R63" s="24" t="n">
        <f aca="false">$D$33*$C$15*IF((R$35-$C$33)&lt;0,0,IF((R$35-$C$33)&gt;=7,1,INDEX(Drivers!$D$86:$J$86,(R$35-$C$33)+1)))*IF((R$35-$C$33)&lt;Drivers!$C$87,1,Drivers!$C$88*Drivers!$C$89^((R$35-$C$33)-Drivers!$C$87))*$E$33</f>
        <v>0.1536</v>
      </c>
      <c r="S63" s="24" t="n">
        <f aca="false">$D$33*$C$15*IF((S$35-$C$33)&lt;0,0,IF((S$35-$C$33)&gt;=7,1,INDEX(Drivers!$D$86:$J$86,(S$35-$C$33)+1)))*IF((S$35-$C$33)&lt;Drivers!$C$87,1,Drivers!$C$88*Drivers!$C$89^((S$35-$C$33)-Drivers!$C$87))*$E$33</f>
        <v>0.1536</v>
      </c>
      <c r="T63" s="24" t="n">
        <f aca="false">$D$33*$C$15*IF((T$35-$C$33)&lt;0,0,IF((T$35-$C$33)&gt;=7,1,INDEX(Drivers!$D$86:$J$86,(T$35-$C$33)+1)))*IF((T$35-$C$33)&lt;Drivers!$C$87,1,Drivers!$C$88*Drivers!$C$89^((T$35-$C$33)-Drivers!$C$87))*$E$33</f>
        <v>0.1536</v>
      </c>
      <c r="U63" s="24" t="n">
        <f aca="false">$D$33*$C$15*IF((U$35-$C$33)&lt;0,0,IF((U$35-$C$33)&gt;=7,1,INDEX(Drivers!$D$86:$J$86,(U$35-$C$33)+1)))*IF((U$35-$C$33)&lt;Drivers!$C$87,1,Drivers!$C$88*Drivers!$C$89^((U$35-$C$33)-Drivers!$C$87))*$E$33</f>
        <v>0.1536</v>
      </c>
    </row>
    <row r="64" customFormat="false" ht="15" hidden="false" customHeight="false" outlineLevel="0" collapsed="false">
      <c r="A64" s="3" t="s">
        <v>353</v>
      </c>
      <c r="B64" s="35" t="s">
        <v>326</v>
      </c>
      <c r="C64" s="29" t="n">
        <f aca="false">SUM(C54:C63)</f>
        <v>0</v>
      </c>
      <c r="D64" s="29" t="n">
        <f aca="false">SUM(D54:D63)</f>
        <v>0</v>
      </c>
      <c r="E64" s="29" t="n">
        <f aca="false">SUM(E54:E63)</f>
        <v>0</v>
      </c>
      <c r="F64" s="29" t="n">
        <f aca="false">SUM(F54:F63)</f>
        <v>0</v>
      </c>
      <c r="G64" s="29" t="n">
        <f aca="false">SUM(G54:G63)</f>
        <v>0.0462848</v>
      </c>
      <c r="H64" s="29" t="n">
        <f aca="false">SUM(H54:H63)</f>
        <v>0.1483264</v>
      </c>
      <c r="I64" s="29" t="n">
        <f aca="false">SUM(I54:I63)</f>
        <v>0.275968</v>
      </c>
      <c r="J64" s="29" t="n">
        <f aca="false">SUM(J54:J63)</f>
        <v>0.42496</v>
      </c>
      <c r="K64" s="29" t="n">
        <f aca="false">SUM(K54:K63)</f>
        <v>0.6056192</v>
      </c>
      <c r="L64" s="29" t="n">
        <f aca="false">SUM(L54:L63)</f>
        <v>0.7899264</v>
      </c>
      <c r="M64" s="29" t="n">
        <f aca="false">SUM(M54:M63)</f>
        <v>0.9581184</v>
      </c>
      <c r="N64" s="29" t="n">
        <f aca="false">SUM(N54:N63)</f>
        <v>1.075136</v>
      </c>
      <c r="O64" s="29" t="n">
        <f aca="false">SUM(O54:O63)</f>
        <v>1.164032</v>
      </c>
      <c r="P64" s="29" t="n">
        <f aca="false">SUM(P54:P63)</f>
        <v>1.219008</v>
      </c>
      <c r="Q64" s="29" t="n">
        <f aca="false">SUM(Q54:Q63)</f>
        <v>1.24544</v>
      </c>
      <c r="R64" s="29" t="n">
        <f aca="false">SUM(R54:R63)</f>
        <v>1.24544</v>
      </c>
      <c r="S64" s="29" t="n">
        <f aca="false">SUM(S54:S63)</f>
        <v>1.129728</v>
      </c>
      <c r="T64" s="29" t="n">
        <f aca="false">SUM(T54:T63)</f>
        <v>1.10662656</v>
      </c>
      <c r="U64" s="29" t="n">
        <f aca="false">SUM(U54:U63)</f>
        <v>1.0818117632</v>
      </c>
    </row>
    <row r="65" customFormat="false" ht="15" hidden="false" customHeight="false" outlineLevel="0" collapsed="false">
      <c r="A65" s="9" t="s">
        <v>354</v>
      </c>
      <c r="B65" s="35" t="s">
        <v>334</v>
      </c>
      <c r="C65" s="11" t="n">
        <f aca="false">IF((C$35-$C$24)&lt;0,0,Drivers!$C$90+($C$16-Drivers!$C$90)*MIN((C$35-$C$24)/Drivers!$C$91,1))</f>
        <v>0.2</v>
      </c>
      <c r="D65" s="11" t="n">
        <f aca="false">IF((D$35-$C$24)&lt;0,0,Drivers!$C$90+($C$16-Drivers!$C$90)*MIN((D$35-$C$24)/Drivers!$C$91,1))</f>
        <v>0.27</v>
      </c>
      <c r="E65" s="11" t="n">
        <f aca="false">IF((E$35-$C$24)&lt;0,0,Drivers!$C$90+($C$16-Drivers!$C$90)*MIN((E$35-$C$24)/Drivers!$C$91,1))</f>
        <v>0.34</v>
      </c>
      <c r="F65" s="11" t="n">
        <f aca="false">IF((F$35-$C$24)&lt;0,0,Drivers!$C$90+($C$16-Drivers!$C$90)*MIN((F$35-$C$24)/Drivers!$C$91,1))</f>
        <v>0.41</v>
      </c>
      <c r="G65" s="11" t="n">
        <f aca="false">IF((G$35-$C$24)&lt;0,0,Drivers!$C$90+($C$16-Drivers!$C$90)*MIN((G$35-$C$24)/Drivers!$C$91,1))</f>
        <v>0.48</v>
      </c>
      <c r="H65" s="11" t="n">
        <f aca="false">IF((H$35-$C$24)&lt;0,0,Drivers!$C$90+($C$16-Drivers!$C$90)*MIN((H$35-$C$24)/Drivers!$C$91,1))</f>
        <v>0.55</v>
      </c>
      <c r="I65" s="11" t="n">
        <f aca="false">IF((I$35-$C$24)&lt;0,0,Drivers!$C$90+($C$16-Drivers!$C$90)*MIN((I$35-$C$24)/Drivers!$C$91,1))</f>
        <v>0.55</v>
      </c>
      <c r="J65" s="11" t="n">
        <f aca="false">IF((J$35-$C$24)&lt;0,0,Drivers!$C$90+($C$16-Drivers!$C$90)*MIN((J$35-$C$24)/Drivers!$C$91,1))</f>
        <v>0.55</v>
      </c>
      <c r="K65" s="11" t="n">
        <f aca="false">IF((K$35-$C$24)&lt;0,0,Drivers!$C$90+($C$16-Drivers!$C$90)*MIN((K$35-$C$24)/Drivers!$C$91,1))</f>
        <v>0.55</v>
      </c>
      <c r="L65" s="11" t="n">
        <f aca="false">IF((L$35-$C$24)&lt;0,0,Drivers!$C$90+($C$16-Drivers!$C$90)*MIN((L$35-$C$24)/Drivers!$C$91,1))</f>
        <v>0.55</v>
      </c>
      <c r="M65" s="11" t="n">
        <f aca="false">IF((M$35-$C$24)&lt;0,0,Drivers!$C$90+($C$16-Drivers!$C$90)*MIN((M$35-$C$24)/Drivers!$C$91,1))</f>
        <v>0.55</v>
      </c>
      <c r="N65" s="11" t="n">
        <f aca="false">IF((N$35-$C$24)&lt;0,0,Drivers!$C$90+($C$16-Drivers!$C$90)*MIN((N$35-$C$24)/Drivers!$C$91,1))</f>
        <v>0.55</v>
      </c>
      <c r="O65" s="11" t="n">
        <f aca="false">IF((O$35-$C$24)&lt;0,0,Drivers!$C$90+($C$16-Drivers!$C$90)*MIN((O$35-$C$24)/Drivers!$C$91,1))</f>
        <v>0.55</v>
      </c>
      <c r="P65" s="11" t="n">
        <f aca="false">IF((P$35-$C$24)&lt;0,0,Drivers!$C$90+($C$16-Drivers!$C$90)*MIN((P$35-$C$24)/Drivers!$C$91,1))</f>
        <v>0.55</v>
      </c>
      <c r="Q65" s="11" t="n">
        <f aca="false">IF((Q$35-$C$24)&lt;0,0,Drivers!$C$90+($C$16-Drivers!$C$90)*MIN((Q$35-$C$24)/Drivers!$C$91,1))</f>
        <v>0.55</v>
      </c>
      <c r="R65" s="11" t="n">
        <f aca="false">IF((R$35-$C$24)&lt;0,0,Drivers!$C$90+($C$16-Drivers!$C$90)*MIN((R$35-$C$24)/Drivers!$C$91,1))</f>
        <v>0.55</v>
      </c>
      <c r="S65" s="11" t="n">
        <f aca="false">IF((S$35-$C$24)&lt;0,0,Drivers!$C$90+($C$16-Drivers!$C$90)*MIN((S$35-$C$24)/Drivers!$C$91,1))</f>
        <v>0.55</v>
      </c>
      <c r="T65" s="11" t="n">
        <f aca="false">IF((T$35-$C$24)&lt;0,0,Drivers!$C$90+($C$16-Drivers!$C$90)*MIN((T$35-$C$24)/Drivers!$C$91,1))</f>
        <v>0.55</v>
      </c>
      <c r="U65" s="11" t="n">
        <f aca="false">IF((U$35-$C$24)&lt;0,0,Drivers!$C$90+($C$16-Drivers!$C$90)*MIN((U$35-$C$24)/Drivers!$C$91,1))</f>
        <v>0.55</v>
      </c>
    </row>
    <row r="66" customFormat="false" ht="15" hidden="false" customHeight="false" outlineLevel="0" collapsed="false">
      <c r="A66" s="9" t="s">
        <v>355</v>
      </c>
      <c r="B66" s="35" t="s">
        <v>326</v>
      </c>
      <c r="C66" s="24" t="n">
        <f aca="false">Drivers!$C$85*C64*C65</f>
        <v>0</v>
      </c>
      <c r="D66" s="24" t="n">
        <f aca="false">Drivers!$C$85*D64*D65</f>
        <v>0</v>
      </c>
      <c r="E66" s="24" t="n">
        <f aca="false">Drivers!$C$85*E64*E65</f>
        <v>0</v>
      </c>
      <c r="F66" s="24" t="n">
        <f aca="false">Drivers!$C$85*F64*F65</f>
        <v>0</v>
      </c>
      <c r="G66" s="24" t="n">
        <f aca="false">Drivers!$C$85*G64*G65</f>
        <v>0.011108352</v>
      </c>
      <c r="H66" s="24" t="n">
        <f aca="false">Drivers!$C$85*H64*H65</f>
        <v>0.04078976</v>
      </c>
      <c r="I66" s="24" t="n">
        <f aca="false">Drivers!$C$85*I64*I65</f>
        <v>0.0758912</v>
      </c>
      <c r="J66" s="24" t="n">
        <f aca="false">Drivers!$C$85*J64*J65</f>
        <v>0.116864</v>
      </c>
      <c r="K66" s="24" t="n">
        <f aca="false">Drivers!$C$85*K64*K65</f>
        <v>0.16654528</v>
      </c>
      <c r="L66" s="24" t="n">
        <f aca="false">Drivers!$C$85*L64*L65</f>
        <v>0.21722976</v>
      </c>
      <c r="M66" s="24" t="n">
        <f aca="false">Drivers!$C$85*M64*M65</f>
        <v>0.26348256</v>
      </c>
      <c r="N66" s="24" t="n">
        <f aca="false">Drivers!$C$85*N64*N65</f>
        <v>0.2956624</v>
      </c>
      <c r="O66" s="24" t="n">
        <f aca="false">Drivers!$C$85*O64*O65</f>
        <v>0.3201088</v>
      </c>
      <c r="P66" s="24" t="n">
        <f aca="false">Drivers!$C$85*P64*P65</f>
        <v>0.3352272</v>
      </c>
      <c r="Q66" s="24" t="n">
        <f aca="false">Drivers!$C$85*Q64*Q65</f>
        <v>0.342496</v>
      </c>
      <c r="R66" s="24" t="n">
        <f aca="false">Drivers!$C$85*R64*R65</f>
        <v>0.342496</v>
      </c>
      <c r="S66" s="24" t="n">
        <f aca="false">Drivers!$C$85*S64*S65</f>
        <v>0.3106752</v>
      </c>
      <c r="T66" s="24" t="n">
        <f aca="false">Drivers!$C$85*T64*T65</f>
        <v>0.304322304</v>
      </c>
      <c r="U66" s="24" t="n">
        <f aca="false">Drivers!$C$85*U64*U65</f>
        <v>0.29749823488</v>
      </c>
    </row>
    <row r="67" customFormat="false" ht="15" hidden="false" customHeight="false" outlineLevel="0" collapsed="false">
      <c r="A67" s="9" t="s">
        <v>356</v>
      </c>
      <c r="B67" s="35" t="s">
        <v>326</v>
      </c>
      <c r="C67" s="24" t="n">
        <f aca="false">Drivers!$D$92</f>
        <v>0.4</v>
      </c>
      <c r="D67" s="24" t="n">
        <f aca="false">Drivers!$E$92</f>
        <v>0.4</v>
      </c>
      <c r="E67" s="24" t="n">
        <f aca="false">Drivers!$F$92</f>
        <v>0.4</v>
      </c>
      <c r="F67" s="24" t="n">
        <f aca="false">Drivers!$G$92</f>
        <v>0.4</v>
      </c>
      <c r="G67" s="24" t="n">
        <f aca="false">Drivers!$H$92</f>
        <v>0.35</v>
      </c>
      <c r="H67" s="24" t="n">
        <f aca="false">Drivers!$I$92</f>
        <v>0.35</v>
      </c>
      <c r="I67" s="24" t="n">
        <f aca="false">Drivers!$J$92</f>
        <v>0.3</v>
      </c>
      <c r="J67" s="24" t="n">
        <f aca="false">Drivers!$K$92</f>
        <v>0.25</v>
      </c>
      <c r="K67" s="24" t="n">
        <f aca="false">Drivers!$C$93</f>
        <v>0.2</v>
      </c>
      <c r="L67" s="24" t="n">
        <f aca="false">Drivers!$C$93</f>
        <v>0.2</v>
      </c>
      <c r="M67" s="24" t="n">
        <f aca="false">Drivers!$C$93</f>
        <v>0.2</v>
      </c>
      <c r="N67" s="24" t="n">
        <f aca="false">Drivers!$C$93</f>
        <v>0.2</v>
      </c>
      <c r="O67" s="24" t="n">
        <f aca="false">Drivers!$C$93</f>
        <v>0.2</v>
      </c>
      <c r="P67" s="24" t="n">
        <f aca="false">Drivers!$C$93</f>
        <v>0.2</v>
      </c>
      <c r="Q67" s="24" t="n">
        <f aca="false">Drivers!$C$93</f>
        <v>0.2</v>
      </c>
      <c r="R67" s="24" t="n">
        <f aca="false">Drivers!$C$93</f>
        <v>0.2</v>
      </c>
      <c r="S67" s="24" t="n">
        <f aca="false">Drivers!$C$93</f>
        <v>0.2</v>
      </c>
      <c r="T67" s="24" t="n">
        <f aca="false">Drivers!$C$93</f>
        <v>0.2</v>
      </c>
      <c r="U67" s="24" t="n">
        <f aca="false">Drivers!$C$93</f>
        <v>0.2</v>
      </c>
    </row>
    <row r="68" customFormat="false" ht="15" hidden="false" customHeight="false" outlineLevel="0" collapsed="false">
      <c r="A68" s="3" t="s">
        <v>357</v>
      </c>
      <c r="B68" s="35" t="s">
        <v>326</v>
      </c>
      <c r="C68" s="29" t="n">
        <f aca="false">C66-C67</f>
        <v>-0.4</v>
      </c>
      <c r="D68" s="29" t="n">
        <f aca="false">D66-D67</f>
        <v>-0.4</v>
      </c>
      <c r="E68" s="29" t="n">
        <f aca="false">E66-E67</f>
        <v>-0.4</v>
      </c>
      <c r="F68" s="29" t="n">
        <f aca="false">F66-F67</f>
        <v>-0.4</v>
      </c>
      <c r="G68" s="29" t="n">
        <f aca="false">G66-G67</f>
        <v>-0.338891648</v>
      </c>
      <c r="H68" s="29" t="n">
        <f aca="false">H66-H67</f>
        <v>-0.30921024</v>
      </c>
      <c r="I68" s="29" t="n">
        <f aca="false">I66-I67</f>
        <v>-0.2241088</v>
      </c>
      <c r="J68" s="29" t="n">
        <f aca="false">J66-J67</f>
        <v>-0.133136</v>
      </c>
      <c r="K68" s="29" t="n">
        <f aca="false">K66-K67</f>
        <v>-0.03345472</v>
      </c>
      <c r="L68" s="29" t="n">
        <f aca="false">L66-L67</f>
        <v>0.0172297600000001</v>
      </c>
      <c r="M68" s="29" t="n">
        <f aca="false">M66-M67</f>
        <v>0.0634825600000001</v>
      </c>
      <c r="N68" s="29" t="n">
        <f aca="false">N66-N67</f>
        <v>0.0956624</v>
      </c>
      <c r="O68" s="29" t="n">
        <f aca="false">O66-O67</f>
        <v>0.1201088</v>
      </c>
      <c r="P68" s="29" t="n">
        <f aca="false">P66-P67</f>
        <v>0.1352272</v>
      </c>
      <c r="Q68" s="29" t="n">
        <f aca="false">Q66-Q67</f>
        <v>0.142496</v>
      </c>
      <c r="R68" s="29" t="n">
        <f aca="false">R66-R67</f>
        <v>0.142496</v>
      </c>
      <c r="S68" s="29" t="n">
        <f aca="false">S66-S67</f>
        <v>0.1106752</v>
      </c>
      <c r="T68" s="29" t="n">
        <f aca="false">T66-T67</f>
        <v>0.104322304</v>
      </c>
      <c r="U68" s="29" t="n">
        <f aca="false">U66-U67</f>
        <v>0.09749823488</v>
      </c>
    </row>
    <row r="69" customFormat="false" ht="15" hidden="false" customHeight="false" outlineLevel="0" collapsed="false">
      <c r="A69" s="3" t="s">
        <v>358</v>
      </c>
    </row>
    <row r="70" customFormat="false" ht="15" hidden="false" customHeight="false" outlineLevel="0" collapsed="false">
      <c r="A70" s="9" t="s">
        <v>359</v>
      </c>
      <c r="B70" s="35" t="s">
        <v>326</v>
      </c>
      <c r="C70" s="24" t="n">
        <f aca="false">Drivers!$C$107*Drivers!$C$108*IF((C$35-Drivers!$C$109)&lt;0,0,IF((C$35-Drivers!$C$109)&gt;=7,1,INDEX(Drivers!$D$86:$J$86,(C$35-Drivers!$C$109)+1)))*IF((C$35-Drivers!$C$109)&lt;Drivers!$C$87,1,Drivers!$C$88*Drivers!$C$89^((C$35-Drivers!$C$109)-Drivers!$C$87))</f>
        <v>0</v>
      </c>
      <c r="D70" s="24" t="n">
        <f aca="false">Drivers!$C$107*Drivers!$C$108*IF((D$35-Drivers!$C$109)&lt;0,0,IF((D$35-Drivers!$C$109)&gt;=7,1,INDEX(Drivers!$D$86:$J$86,(D$35-Drivers!$C$109)+1)))*IF((D$35-Drivers!$C$109)&lt;Drivers!$C$87,1,Drivers!$C$88*Drivers!$C$89^((D$35-Drivers!$C$109)-Drivers!$C$87))</f>
        <v>0</v>
      </c>
      <c r="E70" s="24" t="n">
        <f aca="false">Drivers!$C$107*Drivers!$C$108*IF((E$35-Drivers!$C$109)&lt;0,0,IF((E$35-Drivers!$C$109)&gt;=7,1,INDEX(Drivers!$D$86:$J$86,(E$35-Drivers!$C$109)+1)))*IF((E$35-Drivers!$C$109)&lt;Drivers!$C$87,1,Drivers!$C$88*Drivers!$C$89^((E$35-Drivers!$C$109)-Drivers!$C$87))</f>
        <v>0</v>
      </c>
      <c r="F70" s="24" t="n">
        <f aca="false">Drivers!$C$107*Drivers!$C$108*IF((F$35-Drivers!$C$109)&lt;0,0,IF((F$35-Drivers!$C$109)&gt;=7,1,INDEX(Drivers!$D$86:$J$86,(F$35-Drivers!$C$109)+1)))*IF((F$35-Drivers!$C$109)&lt;Drivers!$C$87,1,Drivers!$C$88*Drivers!$C$89^((F$35-Drivers!$C$109)-Drivers!$C$87))</f>
        <v>0</v>
      </c>
      <c r="G70" s="24" t="n">
        <f aca="false">Drivers!$C$107*Drivers!$C$108*IF((G$35-Drivers!$C$109)&lt;0,0,IF((G$35-Drivers!$C$109)&gt;=7,1,INDEX(Drivers!$D$86:$J$86,(G$35-Drivers!$C$109)+1)))*IF((G$35-Drivers!$C$109)&lt;Drivers!$C$87,1,Drivers!$C$88*Drivers!$C$89^((G$35-Drivers!$C$109)-Drivers!$C$87))</f>
        <v>0.016</v>
      </c>
      <c r="H70" s="24" t="n">
        <f aca="false">Drivers!$C$107*Drivers!$C$108*IF((H$35-Drivers!$C$109)&lt;0,0,IF((H$35-Drivers!$C$109)&gt;=7,1,INDEX(Drivers!$D$86:$J$86,(H$35-Drivers!$C$109)+1)))*IF((H$35-Drivers!$C$109)&lt;Drivers!$C$87,1,Drivers!$C$88*Drivers!$C$89^((H$35-Drivers!$C$109)-Drivers!$C$87))</f>
        <v>0.05</v>
      </c>
      <c r="I70" s="24" t="n">
        <f aca="false">Drivers!$C$107*Drivers!$C$108*IF((I$35-Drivers!$C$109)&lt;0,0,IF((I$35-Drivers!$C$109)&gt;=7,1,INDEX(Drivers!$D$86:$J$86,(I$35-Drivers!$C$109)+1)))*IF((I$35-Drivers!$C$109)&lt;Drivers!$C$87,1,Drivers!$C$88*Drivers!$C$89^((I$35-Drivers!$C$109)-Drivers!$C$87))</f>
        <v>0.09</v>
      </c>
      <c r="J70" s="24" t="n">
        <f aca="false">Drivers!$C$107*Drivers!$C$108*IF((J$35-Drivers!$C$109)&lt;0,0,IF((J$35-Drivers!$C$109)&gt;=7,1,INDEX(Drivers!$D$86:$J$86,(J$35-Drivers!$C$109)+1)))*IF((J$35-Drivers!$C$109)&lt;Drivers!$C$87,1,Drivers!$C$88*Drivers!$C$89^((J$35-Drivers!$C$109)-Drivers!$C$87))</f>
        <v>0.13</v>
      </c>
      <c r="K70" s="24" t="n">
        <f aca="false">Drivers!$C$107*Drivers!$C$108*IF((K$35-Drivers!$C$109)&lt;0,0,IF((K$35-Drivers!$C$109)&gt;=7,1,INDEX(Drivers!$D$86:$J$86,(K$35-Drivers!$C$109)+1)))*IF((K$35-Drivers!$C$109)&lt;Drivers!$C$87,1,Drivers!$C$88*Drivers!$C$89^((K$35-Drivers!$C$109)-Drivers!$C$87))</f>
        <v>0.164</v>
      </c>
      <c r="L70" s="24" t="n">
        <f aca="false">Drivers!$C$107*Drivers!$C$108*IF((L$35-Drivers!$C$109)&lt;0,0,IF((L$35-Drivers!$C$109)&gt;=7,1,INDEX(Drivers!$D$86:$J$86,(L$35-Drivers!$C$109)+1)))*IF((L$35-Drivers!$C$109)&lt;Drivers!$C$87,1,Drivers!$C$88*Drivers!$C$89^((L$35-Drivers!$C$109)-Drivers!$C$87))</f>
        <v>0.186</v>
      </c>
      <c r="M70" s="24" t="n">
        <f aca="false">Drivers!$C$107*Drivers!$C$108*IF((M$35-Drivers!$C$109)&lt;0,0,IF((M$35-Drivers!$C$109)&gt;=7,1,INDEX(Drivers!$D$86:$J$86,(M$35-Drivers!$C$109)+1)))*IF((M$35-Drivers!$C$109)&lt;Drivers!$C$87,1,Drivers!$C$88*Drivers!$C$89^((M$35-Drivers!$C$109)-Drivers!$C$87))</f>
        <v>0.2</v>
      </c>
      <c r="N70" s="24" t="n">
        <f aca="false">Drivers!$C$107*Drivers!$C$108*IF((N$35-Drivers!$C$109)&lt;0,0,IF((N$35-Drivers!$C$109)&gt;=7,1,INDEX(Drivers!$D$86:$J$86,(N$35-Drivers!$C$109)+1)))*IF((N$35-Drivers!$C$109)&lt;Drivers!$C$87,1,Drivers!$C$88*Drivers!$C$89^((N$35-Drivers!$C$109)-Drivers!$C$87))</f>
        <v>0.2</v>
      </c>
      <c r="O70" s="24" t="n">
        <f aca="false">Drivers!$C$107*Drivers!$C$108*IF((O$35-Drivers!$C$109)&lt;0,0,IF((O$35-Drivers!$C$109)&gt;=7,1,INDEX(Drivers!$D$86:$J$86,(O$35-Drivers!$C$109)+1)))*IF((O$35-Drivers!$C$109)&lt;Drivers!$C$87,1,Drivers!$C$88*Drivers!$C$89^((O$35-Drivers!$C$109)-Drivers!$C$87))</f>
        <v>0.2</v>
      </c>
      <c r="P70" s="24" t="n">
        <f aca="false">Drivers!$C$107*Drivers!$C$108*IF((P$35-Drivers!$C$109)&lt;0,0,IF((P$35-Drivers!$C$109)&gt;=7,1,INDEX(Drivers!$D$86:$J$86,(P$35-Drivers!$C$109)+1)))*IF((P$35-Drivers!$C$109)&lt;Drivers!$C$87,1,Drivers!$C$88*Drivers!$C$89^((P$35-Drivers!$C$109)-Drivers!$C$87))</f>
        <v>0.2</v>
      </c>
      <c r="Q70" s="24" t="n">
        <f aca="false">Drivers!$C$107*Drivers!$C$108*IF((Q$35-Drivers!$C$109)&lt;0,0,IF((Q$35-Drivers!$C$109)&gt;=7,1,INDEX(Drivers!$D$86:$J$86,(Q$35-Drivers!$C$109)+1)))*IF((Q$35-Drivers!$C$109)&lt;Drivers!$C$87,1,Drivers!$C$88*Drivers!$C$89^((Q$35-Drivers!$C$109)-Drivers!$C$87))</f>
        <v>0.2</v>
      </c>
      <c r="R70" s="24" t="n">
        <f aca="false">Drivers!$C$107*Drivers!$C$108*IF((R$35-Drivers!$C$109)&lt;0,0,IF((R$35-Drivers!$C$109)&gt;=7,1,INDEX(Drivers!$D$86:$J$86,(R$35-Drivers!$C$109)+1)))*IF((R$35-Drivers!$C$109)&lt;Drivers!$C$87,1,Drivers!$C$88*Drivers!$C$89^((R$35-Drivers!$C$109)-Drivers!$C$87))</f>
        <v>0.2</v>
      </c>
      <c r="S70" s="24" t="n">
        <f aca="false">Drivers!$C$107*Drivers!$C$108*IF((S$35-Drivers!$C$109)&lt;0,0,IF((S$35-Drivers!$C$109)&gt;=7,1,INDEX(Drivers!$D$86:$J$86,(S$35-Drivers!$C$109)+1)))*IF((S$35-Drivers!$C$109)&lt;Drivers!$C$87,1,Drivers!$C$88*Drivers!$C$89^((S$35-Drivers!$C$109)-Drivers!$C$87))</f>
        <v>0.16</v>
      </c>
      <c r="T70" s="24" t="n">
        <f aca="false">Drivers!$C$107*Drivers!$C$108*IF((T$35-Drivers!$C$109)&lt;0,0,IF((T$35-Drivers!$C$109)&gt;=7,1,INDEX(Drivers!$D$86:$J$86,(T$35-Drivers!$C$109)+1)))*IF((T$35-Drivers!$C$109)&lt;Drivers!$C$87,1,Drivers!$C$88*Drivers!$C$89^((T$35-Drivers!$C$109)-Drivers!$C$87))</f>
        <v>0.1552</v>
      </c>
      <c r="U70" s="24" t="n">
        <f aca="false">Drivers!$C$107*Drivers!$C$108*IF((U$35-Drivers!$C$109)&lt;0,0,IF((U$35-Drivers!$C$109)&gt;=7,1,INDEX(Drivers!$D$86:$J$86,(U$35-Drivers!$C$109)+1)))*IF((U$35-Drivers!$C$109)&lt;Drivers!$C$87,1,Drivers!$C$88*Drivers!$C$89^((U$35-Drivers!$C$109)-Drivers!$C$87))</f>
        <v>0.150544</v>
      </c>
    </row>
    <row r="71" customFormat="false" ht="15" hidden="false" customHeight="false" outlineLevel="0" collapsed="false">
      <c r="A71" s="9" t="s">
        <v>360</v>
      </c>
      <c r="B71" s="35" t="s">
        <v>326</v>
      </c>
      <c r="C71" s="24" t="n">
        <f aca="false">Drivers!$D$111</f>
        <v>0.12</v>
      </c>
      <c r="D71" s="24" t="n">
        <f aca="false">Drivers!$E$111+Drivers!$C$112*Drivers!$C$113/3</f>
        <v>0.190833333333333</v>
      </c>
      <c r="E71" s="24" t="n">
        <f aca="false">Drivers!$F$111+Drivers!$C$112*Drivers!$C$113/3</f>
        <v>0.190833333333333</v>
      </c>
      <c r="F71" s="24" t="n">
        <f aca="false">Drivers!$G$111+Drivers!$C$112*Drivers!$C$113/3</f>
        <v>0.140833333333333</v>
      </c>
      <c r="G71" s="24" t="n">
        <f aca="false">Drivers!$H$111</f>
        <v>0.08</v>
      </c>
      <c r="H71" s="24" t="n">
        <f aca="false">0</f>
        <v>0</v>
      </c>
      <c r="I71" s="24" t="n">
        <f aca="false">0</f>
        <v>0</v>
      </c>
      <c r="J71" s="24" t="n">
        <f aca="false">0</f>
        <v>0</v>
      </c>
      <c r="K71" s="24" t="n">
        <f aca="false">0</f>
        <v>0</v>
      </c>
      <c r="L71" s="24" t="n">
        <f aca="false">0</f>
        <v>0</v>
      </c>
      <c r="M71" s="24" t="n">
        <f aca="false">0</f>
        <v>0</v>
      </c>
      <c r="N71" s="24" t="n">
        <f aca="false">0</f>
        <v>0</v>
      </c>
      <c r="O71" s="24" t="n">
        <f aca="false">0</f>
        <v>0</v>
      </c>
      <c r="P71" s="24" t="n">
        <f aca="false">0</f>
        <v>0</v>
      </c>
      <c r="Q71" s="24" t="n">
        <f aca="false">0</f>
        <v>0</v>
      </c>
      <c r="R71" s="24" t="n">
        <f aca="false">0</f>
        <v>0</v>
      </c>
      <c r="S71" s="24" t="n">
        <f aca="false">0</f>
        <v>0</v>
      </c>
      <c r="T71" s="24" t="n">
        <f aca="false">0</f>
        <v>0</v>
      </c>
      <c r="U71" s="24" t="n">
        <f aca="false">0</f>
        <v>0</v>
      </c>
    </row>
    <row r="72" customFormat="false" ht="15" hidden="false" customHeight="false" outlineLevel="0" collapsed="false">
      <c r="A72" s="3" t="s">
        <v>361</v>
      </c>
      <c r="B72" s="35" t="s">
        <v>326</v>
      </c>
      <c r="C72" s="29" t="n">
        <f aca="false">C70*IF((C$35-Drivers!$C$109)&lt;0,0,0.1+(Drivers!$C$110-0.1)*MIN((C$35-Drivers!$C$109)/5,1))-C71</f>
        <v>-0.12</v>
      </c>
      <c r="D72" s="29" t="n">
        <f aca="false">D70*IF((D$35-Drivers!$C$109)&lt;0,0,0.1+(Drivers!$C$110-0.1)*MIN((D$35-Drivers!$C$109)/5,1))-D71</f>
        <v>-0.190833333333333</v>
      </c>
      <c r="E72" s="29" t="n">
        <f aca="false">E70*IF((E$35-Drivers!$C$109)&lt;0,0,0.1+(Drivers!$C$110-0.1)*MIN((E$35-Drivers!$C$109)/5,1))-E71</f>
        <v>-0.190833333333333</v>
      </c>
      <c r="F72" s="29" t="n">
        <f aca="false">F70*IF((F$35-Drivers!$C$109)&lt;0,0,0.1+(Drivers!$C$110-0.1)*MIN((F$35-Drivers!$C$109)/5,1))-F71</f>
        <v>-0.140833333333333</v>
      </c>
      <c r="G72" s="29" t="n">
        <f aca="false">G70*IF((G$35-Drivers!$C$109)&lt;0,0,0.1+(Drivers!$C$110-0.1)*MIN((G$35-Drivers!$C$109)/5,1))-G71</f>
        <v>-0.0784</v>
      </c>
      <c r="H72" s="29" t="n">
        <f aca="false">H70*IF((H$35-Drivers!$C$109)&lt;0,0,0.1+(Drivers!$C$110-0.1)*MIN((H$35-Drivers!$C$109)/5,1))-H71</f>
        <v>0.0085</v>
      </c>
      <c r="I72" s="29" t="n">
        <f aca="false">I70*IF((I$35-Drivers!$C$109)&lt;0,0,0.1+(Drivers!$C$110-0.1)*MIN((I$35-Drivers!$C$109)/5,1))-I71</f>
        <v>0.0216</v>
      </c>
      <c r="J72" s="29" t="n">
        <f aca="false">J70*IF((J$35-Drivers!$C$109)&lt;0,0,0.1+(Drivers!$C$110-0.1)*MIN((J$35-Drivers!$C$109)/5,1))-J71</f>
        <v>0.0403</v>
      </c>
      <c r="K72" s="29" t="n">
        <f aca="false">K70*IF((K$35-Drivers!$C$109)&lt;0,0,0.1+(Drivers!$C$110-0.1)*MIN((K$35-Drivers!$C$109)/5,1))-K71</f>
        <v>0.06232</v>
      </c>
      <c r="L72" s="29" t="n">
        <f aca="false">L70*IF((L$35-Drivers!$C$109)&lt;0,0,0.1+(Drivers!$C$110-0.1)*MIN((L$35-Drivers!$C$109)/5,1))-L71</f>
        <v>0.0837</v>
      </c>
      <c r="M72" s="29" t="n">
        <f aca="false">M70*IF((M$35-Drivers!$C$109)&lt;0,0,0.1+(Drivers!$C$110-0.1)*MIN((M$35-Drivers!$C$109)/5,1))-M71</f>
        <v>0.09</v>
      </c>
      <c r="N72" s="29" t="n">
        <f aca="false">N70*IF((N$35-Drivers!$C$109)&lt;0,0,0.1+(Drivers!$C$110-0.1)*MIN((N$35-Drivers!$C$109)/5,1))-N71</f>
        <v>0.09</v>
      </c>
      <c r="O72" s="29" t="n">
        <f aca="false">O70*IF((O$35-Drivers!$C$109)&lt;0,0,0.1+(Drivers!$C$110-0.1)*MIN((O$35-Drivers!$C$109)/5,1))-O71</f>
        <v>0.09</v>
      </c>
      <c r="P72" s="29" t="n">
        <f aca="false">P70*IF((P$35-Drivers!$C$109)&lt;0,0,0.1+(Drivers!$C$110-0.1)*MIN((P$35-Drivers!$C$109)/5,1))-P71</f>
        <v>0.09</v>
      </c>
      <c r="Q72" s="29" t="n">
        <f aca="false">Q70*IF((Q$35-Drivers!$C$109)&lt;0,0,0.1+(Drivers!$C$110-0.1)*MIN((Q$35-Drivers!$C$109)/5,1))-Q71</f>
        <v>0.09</v>
      </c>
      <c r="R72" s="29" t="n">
        <f aca="false">R70*IF((R$35-Drivers!$C$109)&lt;0,0,0.1+(Drivers!$C$110-0.1)*MIN((R$35-Drivers!$C$109)/5,1))-R71</f>
        <v>0.09</v>
      </c>
      <c r="S72" s="29" t="n">
        <f aca="false">S70*IF((S$35-Drivers!$C$109)&lt;0,0,0.1+(Drivers!$C$110-0.1)*MIN((S$35-Drivers!$C$109)/5,1))-S71</f>
        <v>0.072</v>
      </c>
      <c r="T72" s="29" t="n">
        <f aca="false">T70*IF((T$35-Drivers!$C$109)&lt;0,0,0.1+(Drivers!$C$110-0.1)*MIN((T$35-Drivers!$C$109)/5,1))-T71</f>
        <v>0.06984</v>
      </c>
      <c r="U72" s="29" t="n">
        <f aca="false">U70*IF((U$35-Drivers!$C$109)&lt;0,0,0.1+(Drivers!$C$110-0.1)*MIN((U$35-Drivers!$C$109)/5,1))-U71</f>
        <v>0.0677448</v>
      </c>
    </row>
    <row r="73" customFormat="false" ht="15" hidden="false" customHeight="false" outlineLevel="0" collapsed="false">
      <c r="A73" s="9" t="s">
        <v>362</v>
      </c>
      <c r="B73" s="35" t="s">
        <v>326</v>
      </c>
      <c r="C73" s="24" t="n">
        <f aca="false">Drivers!$C$114*Drivers!$C$115*IF((C$35-Drivers!$C$116)&lt;0,0,MIN(((C$35-Drivers!$C$116)+1)/5,1))</f>
        <v>0</v>
      </c>
      <c r="D73" s="24" t="n">
        <f aca="false">Drivers!$C$114*Drivers!$C$115*IF((D$35-Drivers!$C$116)&lt;0,0,MIN(((D$35-Drivers!$C$116)+1)/5,1))</f>
        <v>0.044</v>
      </c>
      <c r="E73" s="24" t="n">
        <f aca="false">Drivers!$C$114*Drivers!$C$115*IF((E$35-Drivers!$C$116)&lt;0,0,MIN(((E$35-Drivers!$C$116)+1)/5,1))</f>
        <v>0.088</v>
      </c>
      <c r="F73" s="24" t="n">
        <f aca="false">Drivers!$C$114*Drivers!$C$115*IF((F$35-Drivers!$C$116)&lt;0,0,MIN(((F$35-Drivers!$C$116)+1)/5,1))</f>
        <v>0.132</v>
      </c>
      <c r="G73" s="24" t="n">
        <f aca="false">Drivers!$C$114*Drivers!$C$115*IF((G$35-Drivers!$C$116)&lt;0,0,MIN(((G$35-Drivers!$C$116)+1)/5,1))</f>
        <v>0.176</v>
      </c>
      <c r="H73" s="24" t="n">
        <f aca="false">Drivers!$C$114*Drivers!$C$115*IF((H$35-Drivers!$C$116)&lt;0,0,MIN(((H$35-Drivers!$C$116)+1)/5,1))</f>
        <v>0.22</v>
      </c>
      <c r="I73" s="24" t="n">
        <f aca="false">Drivers!$C$114*Drivers!$C$115*IF((I$35-Drivers!$C$116)&lt;0,0,MIN(((I$35-Drivers!$C$116)+1)/5,1))</f>
        <v>0.22</v>
      </c>
      <c r="J73" s="24" t="n">
        <f aca="false">Drivers!$C$114*Drivers!$C$115*IF((J$35-Drivers!$C$116)&lt;0,0,MIN(((J$35-Drivers!$C$116)+1)/5,1))</f>
        <v>0.22</v>
      </c>
      <c r="K73" s="24" t="n">
        <f aca="false">Drivers!$C$114*Drivers!$C$115*IF((K$35-Drivers!$C$116)&lt;0,0,MIN(((K$35-Drivers!$C$116)+1)/5,1))</f>
        <v>0.22</v>
      </c>
      <c r="L73" s="24" t="n">
        <f aca="false">Drivers!$C$114*Drivers!$C$115*IF((L$35-Drivers!$C$116)&lt;0,0,MIN(((L$35-Drivers!$C$116)+1)/5,1))</f>
        <v>0.22</v>
      </c>
      <c r="M73" s="24" t="n">
        <f aca="false">Drivers!$C$114*Drivers!$C$115*IF((M$35-Drivers!$C$116)&lt;0,0,MIN(((M$35-Drivers!$C$116)+1)/5,1))</f>
        <v>0.22</v>
      </c>
      <c r="N73" s="24" t="n">
        <f aca="false">Drivers!$C$114*Drivers!$C$115*IF((N$35-Drivers!$C$116)&lt;0,0,MIN(((N$35-Drivers!$C$116)+1)/5,1))</f>
        <v>0.22</v>
      </c>
      <c r="O73" s="24" t="n">
        <f aca="false">Drivers!$C$114*Drivers!$C$115*IF((O$35-Drivers!$C$116)&lt;0,0,MIN(((O$35-Drivers!$C$116)+1)/5,1))</f>
        <v>0.22</v>
      </c>
      <c r="P73" s="24" t="n">
        <f aca="false">Drivers!$C$114*Drivers!$C$115*IF((P$35-Drivers!$C$116)&lt;0,0,MIN(((P$35-Drivers!$C$116)+1)/5,1))</f>
        <v>0.22</v>
      </c>
      <c r="Q73" s="24" t="n">
        <f aca="false">Drivers!$C$114*Drivers!$C$115*IF((Q$35-Drivers!$C$116)&lt;0,0,MIN(((Q$35-Drivers!$C$116)+1)/5,1))</f>
        <v>0.22</v>
      </c>
      <c r="R73" s="24" t="n">
        <f aca="false">Drivers!$C$114*Drivers!$C$115*IF((R$35-Drivers!$C$116)&lt;0,0,MIN(((R$35-Drivers!$C$116)+1)/5,1))</f>
        <v>0.22</v>
      </c>
      <c r="S73" s="24" t="n">
        <f aca="false">Drivers!$C$114*Drivers!$C$115*IF((S$35-Drivers!$C$116)&lt;0,0,MIN(((S$35-Drivers!$C$116)+1)/5,1))</f>
        <v>0.22</v>
      </c>
      <c r="T73" s="24" t="n">
        <f aca="false">Drivers!$C$114*Drivers!$C$115*IF((T$35-Drivers!$C$116)&lt;0,0,MIN(((T$35-Drivers!$C$116)+1)/5,1))</f>
        <v>0.22</v>
      </c>
      <c r="U73" s="24" t="n">
        <f aca="false">Drivers!$C$114*Drivers!$C$115*IF((U$35-Drivers!$C$116)&lt;0,0,MIN(((U$35-Drivers!$C$116)+1)/5,1))</f>
        <v>0.22</v>
      </c>
    </row>
    <row r="74" customFormat="false" ht="15" hidden="false" customHeight="false" outlineLevel="0" collapsed="false">
      <c r="A74" s="9" t="s">
        <v>363</v>
      </c>
      <c r="B74" s="35" t="s">
        <v>326</v>
      </c>
      <c r="C74" s="24" t="n">
        <f aca="false">Drivers!$C$120*Drivers!$C$121*IF((C$35-Drivers!$C$122)&lt;0,0,MIN(((C$35-Drivers!$C$122)+1)/5,1))</f>
        <v>0</v>
      </c>
      <c r="D74" s="24" t="n">
        <f aca="false">Drivers!$C$120*Drivers!$C$121*IF((D$35-Drivers!$C$122)&lt;0,0,MIN(((D$35-Drivers!$C$122)+1)/5,1))</f>
        <v>0</v>
      </c>
      <c r="E74" s="24" t="n">
        <f aca="false">Drivers!$C$120*Drivers!$C$121*IF((E$35-Drivers!$C$122)&lt;0,0,MIN(((E$35-Drivers!$C$122)+1)/5,1))</f>
        <v>0</v>
      </c>
      <c r="F74" s="24" t="n">
        <f aca="false">Drivers!$C$120*Drivers!$C$121*IF((F$35-Drivers!$C$122)&lt;0,0,MIN(((F$35-Drivers!$C$122)+1)/5,1))</f>
        <v>0</v>
      </c>
      <c r="G74" s="24" t="n">
        <f aca="false">Drivers!$C$120*Drivers!$C$121*IF((G$35-Drivers!$C$122)&lt;0,0,MIN(((G$35-Drivers!$C$122)+1)/5,1))</f>
        <v>0.016</v>
      </c>
      <c r="H74" s="24" t="n">
        <f aca="false">Drivers!$C$120*Drivers!$C$121*IF((H$35-Drivers!$C$122)&lt;0,0,MIN(((H$35-Drivers!$C$122)+1)/5,1))</f>
        <v>0.032</v>
      </c>
      <c r="I74" s="24" t="n">
        <f aca="false">Drivers!$C$120*Drivers!$C$121*IF((I$35-Drivers!$C$122)&lt;0,0,MIN(((I$35-Drivers!$C$122)+1)/5,1))</f>
        <v>0.048</v>
      </c>
      <c r="J74" s="24" t="n">
        <f aca="false">Drivers!$C$120*Drivers!$C$121*IF((J$35-Drivers!$C$122)&lt;0,0,MIN(((J$35-Drivers!$C$122)+1)/5,1))</f>
        <v>0.064</v>
      </c>
      <c r="K74" s="24" t="n">
        <f aca="false">Drivers!$C$120*Drivers!$C$121*IF((K$35-Drivers!$C$122)&lt;0,0,MIN(((K$35-Drivers!$C$122)+1)/5,1))</f>
        <v>0.08</v>
      </c>
      <c r="L74" s="24" t="n">
        <f aca="false">Drivers!$C$120*Drivers!$C$121*IF((L$35-Drivers!$C$122)&lt;0,0,MIN(((L$35-Drivers!$C$122)+1)/5,1))</f>
        <v>0.08</v>
      </c>
      <c r="M74" s="24" t="n">
        <f aca="false">Drivers!$C$120*Drivers!$C$121*IF((M$35-Drivers!$C$122)&lt;0,0,MIN(((M$35-Drivers!$C$122)+1)/5,1))</f>
        <v>0.08</v>
      </c>
      <c r="N74" s="24" t="n">
        <f aca="false">Drivers!$C$120*Drivers!$C$121*IF((N$35-Drivers!$C$122)&lt;0,0,MIN(((N$35-Drivers!$C$122)+1)/5,1))</f>
        <v>0.08</v>
      </c>
      <c r="O74" s="24" t="n">
        <f aca="false">Drivers!$C$120*Drivers!$C$121*IF((O$35-Drivers!$C$122)&lt;0,0,MIN(((O$35-Drivers!$C$122)+1)/5,1))</f>
        <v>0.08</v>
      </c>
      <c r="P74" s="24" t="n">
        <f aca="false">Drivers!$C$120*Drivers!$C$121*IF((P$35-Drivers!$C$122)&lt;0,0,MIN(((P$35-Drivers!$C$122)+1)/5,1))</f>
        <v>0.08</v>
      </c>
      <c r="Q74" s="24" t="n">
        <f aca="false">Drivers!$C$120*Drivers!$C$121*IF((Q$35-Drivers!$C$122)&lt;0,0,MIN(((Q$35-Drivers!$C$122)+1)/5,1))</f>
        <v>0.08</v>
      </c>
      <c r="R74" s="24" t="n">
        <f aca="false">Drivers!$C$120*Drivers!$C$121*IF((R$35-Drivers!$C$122)&lt;0,0,MIN(((R$35-Drivers!$C$122)+1)/5,1))</f>
        <v>0.08</v>
      </c>
      <c r="S74" s="24" t="n">
        <f aca="false">Drivers!$C$120*Drivers!$C$121*IF((S$35-Drivers!$C$122)&lt;0,0,MIN(((S$35-Drivers!$C$122)+1)/5,1))</f>
        <v>0.08</v>
      </c>
      <c r="T74" s="24" t="n">
        <f aca="false">Drivers!$C$120*Drivers!$C$121*IF((T$35-Drivers!$C$122)&lt;0,0,MIN(((T$35-Drivers!$C$122)+1)/5,1))</f>
        <v>0.08</v>
      </c>
      <c r="U74" s="24" t="n">
        <f aca="false">Drivers!$C$120*Drivers!$C$121*IF((U$35-Drivers!$C$122)&lt;0,0,MIN(((U$35-Drivers!$C$122)+1)/5,1))</f>
        <v>0.08</v>
      </c>
    </row>
    <row r="75" customFormat="false" ht="15" hidden="false" customHeight="false" outlineLevel="0" collapsed="false">
      <c r="A75" s="9" t="s">
        <v>364</v>
      </c>
      <c r="B75" s="35" t="s">
        <v>326</v>
      </c>
      <c r="C75" s="24" t="n">
        <f aca="false">Drivers!$C$125*Drivers!$C$126*IF((C$35-Drivers!$C$127)&lt;0,0,MIN(((C$35-Drivers!$C$127)+1)/5,1))*Drivers!$C$128</f>
        <v>0</v>
      </c>
      <c r="D75" s="24" t="n">
        <f aca="false">Drivers!$C$125*Drivers!$C$126*IF((D$35-Drivers!$C$127)&lt;0,0,MIN(((D$35-Drivers!$C$127)+1)/5,1))*Drivers!$C$128</f>
        <v>0</v>
      </c>
      <c r="E75" s="24" t="n">
        <f aca="false">Drivers!$C$125*Drivers!$C$126*IF((E$35-Drivers!$C$127)&lt;0,0,MIN(((E$35-Drivers!$C$127)+1)/5,1))*Drivers!$C$128</f>
        <v>0</v>
      </c>
      <c r="F75" s="24" t="n">
        <f aca="false">Drivers!$C$125*Drivers!$C$126*IF((F$35-Drivers!$C$127)&lt;0,0,MIN(((F$35-Drivers!$C$127)+1)/5,1))*Drivers!$C$128</f>
        <v>0</v>
      </c>
      <c r="G75" s="24" t="n">
        <f aca="false">Drivers!$C$125*Drivers!$C$126*IF((G$35-Drivers!$C$127)&lt;0,0,MIN(((G$35-Drivers!$C$127)+1)/5,1))*Drivers!$C$128</f>
        <v>0.0016</v>
      </c>
      <c r="H75" s="24" t="n">
        <f aca="false">Drivers!$C$125*Drivers!$C$126*IF((H$35-Drivers!$C$127)&lt;0,0,MIN(((H$35-Drivers!$C$127)+1)/5,1))*Drivers!$C$128</f>
        <v>0.0032</v>
      </c>
      <c r="I75" s="24" t="n">
        <f aca="false">Drivers!$C$125*Drivers!$C$126*IF((I$35-Drivers!$C$127)&lt;0,0,MIN(((I$35-Drivers!$C$127)+1)/5,1))*Drivers!$C$128</f>
        <v>0.0048</v>
      </c>
      <c r="J75" s="24" t="n">
        <f aca="false">Drivers!$C$125*Drivers!$C$126*IF((J$35-Drivers!$C$127)&lt;0,0,MIN(((J$35-Drivers!$C$127)+1)/5,1))*Drivers!$C$128</f>
        <v>0.0064</v>
      </c>
      <c r="K75" s="24" t="n">
        <f aca="false">Drivers!$C$125*Drivers!$C$126*IF((K$35-Drivers!$C$127)&lt;0,0,MIN(((K$35-Drivers!$C$127)+1)/5,1))*Drivers!$C$128</f>
        <v>0.008</v>
      </c>
      <c r="L75" s="24" t="n">
        <f aca="false">Drivers!$C$125*Drivers!$C$126*IF((L$35-Drivers!$C$127)&lt;0,0,MIN(((L$35-Drivers!$C$127)+1)/5,1))*Drivers!$C$128</f>
        <v>0.008</v>
      </c>
      <c r="M75" s="24" t="n">
        <f aca="false">Drivers!$C$125*Drivers!$C$126*IF((M$35-Drivers!$C$127)&lt;0,0,MIN(((M$35-Drivers!$C$127)+1)/5,1))*Drivers!$C$128</f>
        <v>0.008</v>
      </c>
      <c r="N75" s="24" t="n">
        <f aca="false">Drivers!$C$125*Drivers!$C$126*IF((N$35-Drivers!$C$127)&lt;0,0,MIN(((N$35-Drivers!$C$127)+1)/5,1))*Drivers!$C$128</f>
        <v>0.008</v>
      </c>
      <c r="O75" s="24" t="n">
        <f aca="false">Drivers!$C$125*Drivers!$C$126*IF((O$35-Drivers!$C$127)&lt;0,0,MIN(((O$35-Drivers!$C$127)+1)/5,1))*Drivers!$C$128</f>
        <v>0.008</v>
      </c>
      <c r="P75" s="24" t="n">
        <f aca="false">Drivers!$C$125*Drivers!$C$126*IF((P$35-Drivers!$C$127)&lt;0,0,MIN(((P$35-Drivers!$C$127)+1)/5,1))*Drivers!$C$128</f>
        <v>0.008</v>
      </c>
      <c r="Q75" s="24" t="n">
        <f aca="false">Drivers!$C$125*Drivers!$C$126*IF((Q$35-Drivers!$C$127)&lt;0,0,MIN(((Q$35-Drivers!$C$127)+1)/5,1))*Drivers!$C$128</f>
        <v>0.008</v>
      </c>
      <c r="R75" s="24" t="n">
        <f aca="false">Drivers!$C$125*Drivers!$C$126*IF((R$35-Drivers!$C$127)&lt;0,0,MIN(((R$35-Drivers!$C$127)+1)/5,1))*Drivers!$C$128</f>
        <v>0.008</v>
      </c>
      <c r="S75" s="24" t="n">
        <f aca="false">Drivers!$C$125*Drivers!$C$126*IF((S$35-Drivers!$C$127)&lt;0,0,MIN(((S$35-Drivers!$C$127)+1)/5,1))*Drivers!$C$128</f>
        <v>0.008</v>
      </c>
      <c r="T75" s="24" t="n">
        <f aca="false">Drivers!$C$125*Drivers!$C$126*IF((T$35-Drivers!$C$127)&lt;0,0,MIN(((T$35-Drivers!$C$127)+1)/5,1))*Drivers!$C$128</f>
        <v>0.008</v>
      </c>
      <c r="U75" s="24" t="n">
        <f aca="false">Drivers!$C$125*Drivers!$C$126*IF((U$35-Drivers!$C$127)&lt;0,0,MIN(((U$35-Drivers!$C$127)+1)/5,1))*Drivers!$C$128</f>
        <v>0.008</v>
      </c>
    </row>
    <row r="76" customFormat="false" ht="15" hidden="false" customHeight="false" outlineLevel="0" collapsed="false">
      <c r="A76" s="3" t="s">
        <v>365</v>
      </c>
      <c r="B76" s="35" t="s">
        <v>326</v>
      </c>
      <c r="C76" s="29" t="n">
        <f aca="false">C73*Drivers!$C$117+Drivers!$C$114*(Drivers!$C$118*(C$35=Drivers!$C$116)+Drivers!$C$119*(C$35=Drivers!$C$116+3))+C74*Drivers!$C$123-Drivers!$C$124*Drivers!$C$114*AND(C$35&gt;=2027,C$35&lt;=2030)+C75</f>
        <v>-0.044</v>
      </c>
      <c r="D76" s="29" t="n">
        <f aca="false">D73*Drivers!$C$117+Drivers!$C$114*(Drivers!$C$118*(D$35=Drivers!$C$116)+Drivers!$C$119*(D$35=Drivers!$C$116+3))+D74*Drivers!$C$123-Drivers!$C$124*Drivers!$C$114*AND(D$35&gt;=2027,D$35&lt;=2030)+D75</f>
        <v>0.0231</v>
      </c>
      <c r="E76" s="29" t="n">
        <f aca="false">E73*Drivers!$C$117+Drivers!$C$114*(Drivers!$C$118*(E$35=Drivers!$C$116)+Drivers!$C$119*(E$35=Drivers!$C$116+3))+E74*Drivers!$C$123-Drivers!$C$124*Drivers!$C$114*AND(E$35&gt;=2027,E$35&lt;=2030)+E75</f>
        <v>-0.0308</v>
      </c>
      <c r="F76" s="29" t="n">
        <f aca="false">F73*Drivers!$C$117+Drivers!$C$114*(Drivers!$C$118*(F$35=Drivers!$C$116)+Drivers!$C$119*(F$35=Drivers!$C$116+3))+F74*Drivers!$C$123-Drivers!$C$124*Drivers!$C$114*AND(F$35&gt;=2027,F$35&lt;=2030)+F75</f>
        <v>-0.0242</v>
      </c>
      <c r="G76" s="29" t="n">
        <f aca="false">G73*Drivers!$C$117+Drivers!$C$114*(Drivers!$C$118*(G$35=Drivers!$C$116)+Drivers!$C$119*(G$35=Drivers!$C$116+3))+G74*Drivers!$C$123-Drivers!$C$124*Drivers!$C$114*AND(G$35&gt;=2027,G$35&lt;=2030)+G75</f>
        <v>0.091</v>
      </c>
      <c r="H76" s="29" t="n">
        <f aca="false">H73*Drivers!$C$117+Drivers!$C$114*(Drivers!$C$118*(H$35=Drivers!$C$116)+Drivers!$C$119*(H$35=Drivers!$C$116+3))+H74*Drivers!$C$123-Drivers!$C$124*Drivers!$C$114*AND(H$35&gt;=2027,H$35&lt;=2030)+H75</f>
        <v>0.0522</v>
      </c>
      <c r="I76" s="29" t="n">
        <f aca="false">I73*Drivers!$C$117+Drivers!$C$114*(Drivers!$C$118*(I$35=Drivers!$C$116)+Drivers!$C$119*(I$35=Drivers!$C$116+3))+I74*Drivers!$C$123-Drivers!$C$124*Drivers!$C$114*AND(I$35&gt;=2027,I$35&lt;=2030)+I75</f>
        <v>0.0618</v>
      </c>
      <c r="J76" s="29" t="n">
        <f aca="false">J73*Drivers!$C$117+Drivers!$C$114*(Drivers!$C$118*(J$35=Drivers!$C$116)+Drivers!$C$119*(J$35=Drivers!$C$116+3))+J74*Drivers!$C$123-Drivers!$C$124*Drivers!$C$114*AND(J$35&gt;=2027,J$35&lt;=2030)+J75</f>
        <v>0.0714</v>
      </c>
      <c r="K76" s="29" t="n">
        <f aca="false">K73*Drivers!$C$117+Drivers!$C$114*(Drivers!$C$118*(K$35=Drivers!$C$116)+Drivers!$C$119*(K$35=Drivers!$C$116+3))+K74*Drivers!$C$123-Drivers!$C$124*Drivers!$C$114*AND(K$35&gt;=2027,K$35&lt;=2030)+K75</f>
        <v>0.081</v>
      </c>
      <c r="L76" s="29" t="n">
        <f aca="false">L73*Drivers!$C$117+Drivers!$C$114*(Drivers!$C$118*(L$35=Drivers!$C$116)+Drivers!$C$119*(L$35=Drivers!$C$116+3))+L74*Drivers!$C$123-Drivers!$C$124*Drivers!$C$114*AND(L$35&gt;=2027,L$35&lt;=2030)+L75</f>
        <v>0.081</v>
      </c>
      <c r="M76" s="29" t="n">
        <f aca="false">M73*Drivers!$C$117+Drivers!$C$114*(Drivers!$C$118*(M$35=Drivers!$C$116)+Drivers!$C$119*(M$35=Drivers!$C$116+3))+M74*Drivers!$C$123-Drivers!$C$124*Drivers!$C$114*AND(M$35&gt;=2027,M$35&lt;=2030)+M75</f>
        <v>0.081</v>
      </c>
      <c r="N76" s="29" t="n">
        <f aca="false">N73*Drivers!$C$117+Drivers!$C$114*(Drivers!$C$118*(N$35=Drivers!$C$116)+Drivers!$C$119*(N$35=Drivers!$C$116+3))+N74*Drivers!$C$123-Drivers!$C$124*Drivers!$C$114*AND(N$35&gt;=2027,N$35&lt;=2030)+N75</f>
        <v>0.081</v>
      </c>
      <c r="O76" s="29" t="n">
        <f aca="false">O73*Drivers!$C$117+Drivers!$C$114*(Drivers!$C$118*(O$35=Drivers!$C$116)+Drivers!$C$119*(O$35=Drivers!$C$116+3))+O74*Drivers!$C$123-Drivers!$C$124*Drivers!$C$114*AND(O$35&gt;=2027,O$35&lt;=2030)+O75</f>
        <v>0.081</v>
      </c>
      <c r="P76" s="29" t="n">
        <f aca="false">P73*Drivers!$C$117+Drivers!$C$114*(Drivers!$C$118*(P$35=Drivers!$C$116)+Drivers!$C$119*(P$35=Drivers!$C$116+3))+P74*Drivers!$C$123-Drivers!$C$124*Drivers!$C$114*AND(P$35&gt;=2027,P$35&lt;=2030)+P75</f>
        <v>0.081</v>
      </c>
      <c r="Q76" s="29" t="n">
        <f aca="false">Q73*Drivers!$C$117+Drivers!$C$114*(Drivers!$C$118*(Q$35=Drivers!$C$116)+Drivers!$C$119*(Q$35=Drivers!$C$116+3))+Q74*Drivers!$C$123-Drivers!$C$124*Drivers!$C$114*AND(Q$35&gt;=2027,Q$35&lt;=2030)+Q75</f>
        <v>0.081</v>
      </c>
      <c r="R76" s="29" t="n">
        <f aca="false">R73*Drivers!$C$117+Drivers!$C$114*(Drivers!$C$118*(R$35=Drivers!$C$116)+Drivers!$C$119*(R$35=Drivers!$C$116+3))+R74*Drivers!$C$123-Drivers!$C$124*Drivers!$C$114*AND(R$35&gt;=2027,R$35&lt;=2030)+R75</f>
        <v>0.081</v>
      </c>
      <c r="S76" s="29" t="n">
        <f aca="false">S73*Drivers!$C$117+Drivers!$C$114*(Drivers!$C$118*(S$35=Drivers!$C$116)+Drivers!$C$119*(S$35=Drivers!$C$116+3))+S74*Drivers!$C$123-Drivers!$C$124*Drivers!$C$114*AND(S$35&gt;=2027,S$35&lt;=2030)+S75</f>
        <v>0.081</v>
      </c>
      <c r="T76" s="29" t="n">
        <f aca="false">T73*Drivers!$C$117+Drivers!$C$114*(Drivers!$C$118*(T$35=Drivers!$C$116)+Drivers!$C$119*(T$35=Drivers!$C$116+3))+T74*Drivers!$C$123-Drivers!$C$124*Drivers!$C$114*AND(T$35&gt;=2027,T$35&lt;=2030)+T75</f>
        <v>0.081</v>
      </c>
      <c r="U76" s="29" t="n">
        <f aca="false">U73*Drivers!$C$117+Drivers!$C$114*(Drivers!$C$118*(U$35=Drivers!$C$116)+Drivers!$C$119*(U$35=Drivers!$C$116+3))+U74*Drivers!$C$123-Drivers!$C$124*Drivers!$C$114*AND(U$35&gt;=2027,U$35&lt;=2030)+U75</f>
        <v>0.081</v>
      </c>
    </row>
    <row r="77" customFormat="false" ht="15" hidden="false" customHeight="false" outlineLevel="0" collapsed="false">
      <c r="A77" s="3" t="s">
        <v>366</v>
      </c>
    </row>
    <row r="78" customFormat="false" ht="15" hidden="false" customHeight="false" outlineLevel="0" collapsed="false">
      <c r="A78" s="9" t="s">
        <v>298</v>
      </c>
      <c r="B78" s="35" t="s">
        <v>326</v>
      </c>
      <c r="C78" s="24" t="n">
        <f aca="false">Drivers!$C$129*(1+Drivers!$C$130)^C$36</f>
        <v>0.42</v>
      </c>
      <c r="D78" s="24" t="n">
        <f aca="false">Drivers!$C$129*(1+Drivers!$C$130)^D$36</f>
        <v>0.4284</v>
      </c>
      <c r="E78" s="24" t="n">
        <f aca="false">Drivers!$C$129*(1+Drivers!$C$130)^E$36</f>
        <v>0.436968</v>
      </c>
      <c r="F78" s="24" t="n">
        <f aca="false">Drivers!$C$129*(1+Drivers!$C$130)^F$36</f>
        <v>0.44570736</v>
      </c>
      <c r="G78" s="24" t="n">
        <f aca="false">Drivers!$C$129*(1+Drivers!$C$130)^G$36</f>
        <v>0.4546215072</v>
      </c>
      <c r="H78" s="24" t="n">
        <f aca="false">Drivers!$C$129*(1+Drivers!$C$130)^H$36</f>
        <v>0.463713937344</v>
      </c>
      <c r="I78" s="24" t="n">
        <f aca="false">Drivers!$C$129*(1+Drivers!$C$130)^I$36</f>
        <v>0.47298821609088</v>
      </c>
      <c r="J78" s="24" t="n">
        <f aca="false">Drivers!$C$129*(1+Drivers!$C$130)^J$36</f>
        <v>0.482447980412698</v>
      </c>
      <c r="K78" s="24" t="n">
        <f aca="false">Drivers!$C$129*(1+Drivers!$C$130)^K$36</f>
        <v>0.492096940020952</v>
      </c>
      <c r="L78" s="24" t="n">
        <f aca="false">Drivers!$C$129*(1+Drivers!$C$130)^L$36</f>
        <v>0.501938878821371</v>
      </c>
      <c r="M78" s="24" t="n">
        <f aca="false">Drivers!$C$129*(1+Drivers!$C$130)^M$36</f>
        <v>0.511977656397798</v>
      </c>
      <c r="N78" s="24" t="n">
        <f aca="false">Drivers!$C$129*(1+Drivers!$C$130)^N$36</f>
        <v>0.522217209525754</v>
      </c>
      <c r="O78" s="24" t="n">
        <f aca="false">Drivers!$C$129*(1+Drivers!$C$130)^O$36</f>
        <v>0.532661553716269</v>
      </c>
      <c r="P78" s="24" t="n">
        <f aca="false">Drivers!$C$129*(1+Drivers!$C$130)^P$36</f>
        <v>0.543314784790595</v>
      </c>
      <c r="Q78" s="24" t="n">
        <f aca="false">Drivers!$C$129*(1+Drivers!$C$130)^Q$36</f>
        <v>0.554181080486406</v>
      </c>
      <c r="R78" s="24" t="n">
        <f aca="false">Drivers!$C$129*(1+Drivers!$C$130)^R$36</f>
        <v>0.565264702096135</v>
      </c>
      <c r="S78" s="24" t="n">
        <f aca="false">Drivers!$C$129*(1+Drivers!$C$130)^S$36</f>
        <v>0.576569996138057</v>
      </c>
      <c r="T78" s="24" t="n">
        <f aca="false">Drivers!$C$129*(1+Drivers!$C$130)^T$36</f>
        <v>0.588101396060819</v>
      </c>
      <c r="U78" s="24" t="n">
        <f aca="false">Drivers!$C$129*(1+Drivers!$C$130)^U$36</f>
        <v>0.599863423982035</v>
      </c>
    </row>
    <row r="79" customFormat="false" ht="15" hidden="false" customHeight="false" outlineLevel="0" collapsed="false">
      <c r="A79" s="9" t="s">
        <v>367</v>
      </c>
      <c r="B79" s="35" t="s">
        <v>326</v>
      </c>
      <c r="C79" s="24" t="n">
        <f aca="false">Drivers!$D$131</f>
        <v>1.2</v>
      </c>
      <c r="D79" s="24" t="n">
        <f aca="false">Drivers!$E$131</f>
        <v>1.15</v>
      </c>
      <c r="E79" s="24" t="n">
        <f aca="false">Drivers!$F$131</f>
        <v>1.12</v>
      </c>
      <c r="F79" s="24" t="n">
        <f aca="false">Drivers!$G$131</f>
        <v>1.1</v>
      </c>
      <c r="G79" s="24" t="n">
        <f aca="false">Drivers!$H$131</f>
        <v>1.1</v>
      </c>
      <c r="H79" s="24" t="n">
        <f aca="false">Drivers!$I$131</f>
        <v>1.1</v>
      </c>
      <c r="I79" s="24" t="n">
        <f aca="false">H79*(1+Drivers!$C$132)</f>
        <v>1.122</v>
      </c>
      <c r="J79" s="24" t="n">
        <f aca="false">I79*(1+Drivers!$C$132)</f>
        <v>1.14444</v>
      </c>
      <c r="K79" s="24" t="n">
        <f aca="false">J79*(1+Drivers!$C$132)</f>
        <v>1.1673288</v>
      </c>
      <c r="L79" s="24" t="n">
        <f aca="false">K79*(1+Drivers!$C$132)</f>
        <v>1.190675376</v>
      </c>
      <c r="M79" s="24" t="n">
        <f aca="false">L79*(1+Drivers!$C$132)</f>
        <v>1.21448888352</v>
      </c>
      <c r="N79" s="24" t="n">
        <f aca="false">M79*(1+Drivers!$C$132)</f>
        <v>1.2387786611904</v>
      </c>
      <c r="O79" s="24" t="n">
        <f aca="false">N79*(1+Drivers!$C$132)</f>
        <v>1.26355423441421</v>
      </c>
      <c r="P79" s="24" t="n">
        <f aca="false">O79*(1+Drivers!$C$132)</f>
        <v>1.28882531910249</v>
      </c>
      <c r="Q79" s="24" t="n">
        <f aca="false">P79*(1+Drivers!$C$132)</f>
        <v>1.31460182548454</v>
      </c>
      <c r="R79" s="24" t="n">
        <f aca="false">Q79*(1+Drivers!$C$132)</f>
        <v>1.34089386199423</v>
      </c>
      <c r="S79" s="24" t="n">
        <f aca="false">R79*(1+Drivers!$C$132)</f>
        <v>1.36771173923412</v>
      </c>
      <c r="T79" s="24" t="n">
        <f aca="false">S79*(1+Drivers!$C$132)</f>
        <v>1.3950659740188</v>
      </c>
      <c r="U79" s="24" t="n">
        <f aca="false">T79*(1+Drivers!$C$132)</f>
        <v>1.42296729349918</v>
      </c>
    </row>
    <row r="80" customFormat="false" ht="15" hidden="false" customHeight="false" outlineLevel="0" collapsed="false">
      <c r="A80" s="9" t="s">
        <v>368</v>
      </c>
      <c r="B80" s="35" t="s">
        <v>326</v>
      </c>
      <c r="C80" s="24" t="n">
        <f aca="false">C79*$C$17</f>
        <v>0.72</v>
      </c>
      <c r="D80" s="24" t="n">
        <f aca="false">D79*$C$17</f>
        <v>0.69</v>
      </c>
      <c r="E80" s="24" t="n">
        <f aca="false">E79*$C$17</f>
        <v>0.672</v>
      </c>
      <c r="F80" s="24" t="n">
        <f aca="false">F79*$C$17</f>
        <v>0.66</v>
      </c>
      <c r="G80" s="24" t="n">
        <f aca="false">G79*$C$17</f>
        <v>0.66</v>
      </c>
      <c r="H80" s="24" t="n">
        <f aca="false">H79*$C$17</f>
        <v>0.66</v>
      </c>
      <c r="I80" s="24" t="n">
        <f aca="false">I79*$C$17</f>
        <v>0.6732</v>
      </c>
      <c r="J80" s="24" t="n">
        <f aca="false">J79*$C$17</f>
        <v>0.686664</v>
      </c>
      <c r="K80" s="24" t="n">
        <f aca="false">K79*$C$17</f>
        <v>0.70039728</v>
      </c>
      <c r="L80" s="24" t="n">
        <f aca="false">L79*$C$17</f>
        <v>0.7144052256</v>
      </c>
      <c r="M80" s="24" t="n">
        <f aca="false">M79*$C$17</f>
        <v>0.728693330112</v>
      </c>
      <c r="N80" s="24" t="n">
        <f aca="false">N79*$C$17</f>
        <v>0.74326719671424</v>
      </c>
      <c r="O80" s="24" t="n">
        <f aca="false">O79*$C$17</f>
        <v>0.758132540648525</v>
      </c>
      <c r="P80" s="24" t="n">
        <f aca="false">P79*$C$17</f>
        <v>0.773295191461496</v>
      </c>
      <c r="Q80" s="24" t="n">
        <f aca="false">Q79*$C$17</f>
        <v>0.788761095290726</v>
      </c>
      <c r="R80" s="24" t="n">
        <f aca="false">R79*$C$17</f>
        <v>0.80453631719654</v>
      </c>
      <c r="S80" s="24" t="n">
        <f aca="false">S79*$C$17</f>
        <v>0.820627043540471</v>
      </c>
      <c r="T80" s="24" t="n">
        <f aca="false">T79*$C$17</f>
        <v>0.83703958441128</v>
      </c>
      <c r="U80" s="24" t="n">
        <f aca="false">U79*$C$17</f>
        <v>0.853780376099506</v>
      </c>
    </row>
    <row r="81" customFormat="false" ht="15" hidden="false" customHeight="false" outlineLevel="0" collapsed="false">
      <c r="A81" s="3" t="s">
        <v>369</v>
      </c>
      <c r="B81" s="35" t="s">
        <v>326</v>
      </c>
      <c r="C81" s="29" t="n">
        <f aca="false">C44+Drivers!$C$85*C64+C70+C74+C73*Drivers!$C$117+C75</f>
        <v>1.7844</v>
      </c>
      <c r="D81" s="29" t="n">
        <f aca="false">D44+Drivers!$C$85*D64+D70+D74+D73*Drivers!$C$117+D75</f>
        <v>1.9254</v>
      </c>
      <c r="E81" s="29" t="n">
        <f aca="false">E44+Drivers!$C$85*E64+E70+E74+E73*Drivers!$C$117+E75</f>
        <v>2.1024</v>
      </c>
      <c r="F81" s="29" t="n">
        <f aca="false">F44+Drivers!$C$85*F64+F70+F74+F73*Drivers!$C$117+F75</f>
        <v>2.2669</v>
      </c>
      <c r="G81" s="29" t="n">
        <f aca="false">G44+Drivers!$C$85*G64+G70+G74+G73*Drivers!$C$117+G75</f>
        <v>2.5106424</v>
      </c>
      <c r="H81" s="29" t="n">
        <f aca="false">H44+Drivers!$C$85*H64+H70+H74+H73*Drivers!$C$117+H75</f>
        <v>2.5958632</v>
      </c>
      <c r="I81" s="29" t="n">
        <f aca="false">I44+Drivers!$C$85*I64+I70+I74+I73*Drivers!$C$117+I75</f>
        <v>2.733784</v>
      </c>
      <c r="J81" s="29" t="n">
        <f aca="false">J44+Drivers!$C$85*J64+J70+J74+J73*Drivers!$C$117+J75</f>
        <v>2.84677</v>
      </c>
      <c r="K81" s="29" t="n">
        <f aca="false">K44+Drivers!$C$85*K64+K70+K74+K73*Drivers!$C$117+K75</f>
        <v>2.9699718</v>
      </c>
      <c r="L81" s="29" t="n">
        <f aca="false">L44+Drivers!$C$85*L64+L70+L74+L73*Drivers!$C$117+L75</f>
        <v>3.065772156</v>
      </c>
      <c r="M81" s="29" t="n">
        <f aca="false">M44+Drivers!$C$85*M64+M70+M74+M73*Drivers!$C$117+M75</f>
        <v>3.14588197688</v>
      </c>
      <c r="N81" s="29" t="n">
        <f aca="false">N44+Drivers!$C$85*N64+N70+N74+N73*Drivers!$C$117+N75</f>
        <v>3.1867643213424</v>
      </c>
      <c r="O81" s="29" t="n">
        <f aca="false">O44+Drivers!$C$85*O64+O70+O74+O73*Drivers!$C$117+O75</f>
        <v>3.21393839491555</v>
      </c>
      <c r="P81" s="29" t="n">
        <f aca="false">P44+Drivers!$C$85*P64+P70+P74+P73*Drivers!$C$117+P75</f>
        <v>3.22449794701724</v>
      </c>
      <c r="Q81" s="29" t="n">
        <f aca="false">Q44+Drivers!$C$85*Q64+Q70+Q74+Q73*Drivers!$C$117+Q75</f>
        <v>3.2211240680769</v>
      </c>
      <c r="R81" s="29" t="n">
        <f aca="false">R44+Drivers!$C$85*R64+R70+R74+R73*Drivers!$C$117+R75</f>
        <v>3.20486598671536</v>
      </c>
      <c r="S81" s="29" t="n">
        <f aca="false">S44+Drivers!$C$85*S64+S70+S74+S73*Drivers!$C$117+S75</f>
        <v>3.09107706698105</v>
      </c>
      <c r="T81" s="29" t="n">
        <f aca="false">T44+Drivers!$C$85*T64+T70+T74+T73*Drivers!$C$117+T75</f>
        <v>3.05911208564143</v>
      </c>
      <c r="U81" s="29" t="n">
        <f aca="false">U44+Drivers!$C$85*U64+U70+U74+U73*Drivers!$C$117+U75</f>
        <v>3.0267467111286</v>
      </c>
    </row>
    <row r="82" customFormat="false" ht="15" hidden="false" customHeight="false" outlineLevel="0" collapsed="false">
      <c r="A82" s="9" t="s">
        <v>370</v>
      </c>
      <c r="B82" s="35" t="s">
        <v>326</v>
      </c>
      <c r="C82" s="24" t="n">
        <f aca="false">Drivers!$D$134</f>
        <v>0.3</v>
      </c>
      <c r="D82" s="24" t="n">
        <f aca="false">Drivers!$E$134</f>
        <v>0.25</v>
      </c>
      <c r="E82" s="24" t="n">
        <f aca="false">Drivers!$F$134</f>
        <v>0.25</v>
      </c>
      <c r="F82" s="24" t="n">
        <f aca="false">Drivers!$G$134</f>
        <v>0.25</v>
      </c>
      <c r="G82" s="24" t="n">
        <f aca="false">Drivers!$H$134</f>
        <v>0.25</v>
      </c>
      <c r="H82" s="24" t="n">
        <f aca="false">Drivers!$I$134</f>
        <v>0.25</v>
      </c>
      <c r="I82" s="24" t="n">
        <f aca="false">Drivers!$C$135*I81</f>
        <v>0.10935136</v>
      </c>
      <c r="J82" s="24" t="n">
        <f aca="false">Drivers!$C$135*J81</f>
        <v>0.1138708</v>
      </c>
      <c r="K82" s="24" t="n">
        <f aca="false">Drivers!$C$135*K81</f>
        <v>0.118798872</v>
      </c>
      <c r="L82" s="24" t="n">
        <f aca="false">Drivers!$C$135*L81</f>
        <v>0.12263088624</v>
      </c>
      <c r="M82" s="24" t="n">
        <f aca="false">Drivers!$C$135*M81</f>
        <v>0.1258352790752</v>
      </c>
      <c r="N82" s="24" t="n">
        <f aca="false">Drivers!$C$135*N81</f>
        <v>0.127470572853696</v>
      </c>
      <c r="O82" s="24" t="n">
        <f aca="false">Drivers!$C$135*O81</f>
        <v>0.128557535796622</v>
      </c>
      <c r="P82" s="24" t="n">
        <f aca="false">Drivers!$C$135*P81</f>
        <v>0.12897991788069</v>
      </c>
      <c r="Q82" s="24" t="n">
        <f aca="false">Drivers!$C$135*Q81</f>
        <v>0.128844962723076</v>
      </c>
      <c r="R82" s="24" t="n">
        <f aca="false">Drivers!$C$135*R81</f>
        <v>0.128194639468614</v>
      </c>
      <c r="S82" s="24" t="n">
        <f aca="false">Drivers!$C$135*S81</f>
        <v>0.123643082679242</v>
      </c>
      <c r="T82" s="24" t="n">
        <f aca="false">Drivers!$C$135*T81</f>
        <v>0.122364483425657</v>
      </c>
      <c r="U82" s="24" t="n">
        <f aca="false">Drivers!$C$135*U81</f>
        <v>0.121069868445144</v>
      </c>
    </row>
    <row r="83" customFormat="false" ht="15" hidden="false" customHeight="false" outlineLevel="0" collapsed="false">
      <c r="A83" s="9" t="s">
        <v>371</v>
      </c>
      <c r="B83" s="35" t="s">
        <v>326</v>
      </c>
      <c r="C83" s="24" t="n">
        <f aca="false">Drivers!$C$136</f>
        <v>0.23</v>
      </c>
      <c r="D83" s="24" t="n">
        <f aca="false">Drivers!$C$136</f>
        <v>0.23</v>
      </c>
      <c r="E83" s="24" t="n">
        <f aca="false">Drivers!$C$136</f>
        <v>0.23</v>
      </c>
      <c r="F83" s="24" t="n">
        <f aca="false">Drivers!$C$136</f>
        <v>0.23</v>
      </c>
      <c r="G83" s="24" t="n">
        <f aca="false">Drivers!$C$136</f>
        <v>0.23</v>
      </c>
      <c r="H83" s="24" t="n">
        <f aca="false">Drivers!$C$136</f>
        <v>0.23</v>
      </c>
      <c r="I83" s="24" t="n">
        <f aca="false">0.8*I82</f>
        <v>0.087481088</v>
      </c>
      <c r="J83" s="24" t="n">
        <f aca="false">0.8*J82</f>
        <v>0.09109664</v>
      </c>
      <c r="K83" s="24" t="n">
        <f aca="false">0.8*K82</f>
        <v>0.0950390976</v>
      </c>
      <c r="L83" s="24" t="n">
        <f aca="false">0.8*L82</f>
        <v>0.098104708992</v>
      </c>
      <c r="M83" s="24" t="n">
        <f aca="false">0.8*M82</f>
        <v>0.10066822326016</v>
      </c>
      <c r="N83" s="24" t="n">
        <f aca="false">0.8*N82</f>
        <v>0.101976458282957</v>
      </c>
      <c r="O83" s="24" t="n">
        <f aca="false">0.8*O82</f>
        <v>0.102846028637298</v>
      </c>
      <c r="P83" s="24" t="n">
        <f aca="false">0.8*P82</f>
        <v>0.103183934304552</v>
      </c>
      <c r="Q83" s="24" t="n">
        <f aca="false">0.8*Q82</f>
        <v>0.103075970178461</v>
      </c>
      <c r="R83" s="24" t="n">
        <f aca="false">0.8*R82</f>
        <v>0.102555711574891</v>
      </c>
      <c r="S83" s="24" t="n">
        <f aca="false">0.8*S82</f>
        <v>0.0989144661433936</v>
      </c>
      <c r="T83" s="24" t="n">
        <f aca="false">0.8*T82</f>
        <v>0.0978915867405258</v>
      </c>
      <c r="U83" s="24" t="n">
        <f aca="false">0.8*U82</f>
        <v>0.0968558947561152</v>
      </c>
    </row>
    <row r="84" customFormat="false" ht="15" hidden="false" customHeight="false" outlineLevel="0" collapsed="false">
      <c r="A84" s="9" t="s">
        <v>372</v>
      </c>
      <c r="B84" s="35" t="s">
        <v>326</v>
      </c>
      <c r="C84" s="24" t="n">
        <f aca="false">Drivers!$C$82*(C81-Drivers!$C$35)</f>
        <v>-0.02556</v>
      </c>
      <c r="D84" s="24" t="n">
        <f aca="false">Drivers!$C$82*(D81-C81)</f>
        <v>0.0141</v>
      </c>
      <c r="E84" s="24" t="n">
        <f aca="false">Drivers!$C$82*(E81-D81)</f>
        <v>0.0177</v>
      </c>
      <c r="F84" s="24" t="n">
        <f aca="false">Drivers!$C$82*(F81-E81)</f>
        <v>0.01645</v>
      </c>
      <c r="G84" s="24" t="n">
        <f aca="false">Drivers!$C$82*(G81-F81)</f>
        <v>0.02437424</v>
      </c>
      <c r="H84" s="24" t="n">
        <f aca="false">Drivers!$C$82*(H81-G81)</f>
        <v>0.00852208000000001</v>
      </c>
      <c r="I84" s="24" t="n">
        <f aca="false">Drivers!$C$82*(I81-H81)</f>
        <v>0.01379208</v>
      </c>
      <c r="J84" s="24" t="n">
        <f aca="false">Drivers!$C$82*(J81-I81)</f>
        <v>0.0112986000000001</v>
      </c>
      <c r="K84" s="24" t="n">
        <f aca="false">Drivers!$C$82*(K81-J81)</f>
        <v>0.01232018</v>
      </c>
      <c r="L84" s="24" t="n">
        <f aca="false">Drivers!$C$82*(L81-K81)</f>
        <v>0.00958003559999998</v>
      </c>
      <c r="M84" s="24" t="n">
        <f aca="false">Drivers!$C$82*(M81-L81)</f>
        <v>0.00801098208800002</v>
      </c>
      <c r="N84" s="24" t="n">
        <f aca="false">Drivers!$C$82*(N81-M81)</f>
        <v>0.00408823444624003</v>
      </c>
      <c r="O84" s="24" t="n">
        <f aca="false">Drivers!$C$82*(O81-N81)</f>
        <v>0.00271740735731521</v>
      </c>
      <c r="P84" s="24" t="n">
        <f aca="false">Drivers!$C$82*(P81-O81)</f>
        <v>0.00105595521016886</v>
      </c>
      <c r="Q84" s="24" t="n">
        <f aca="false">Drivers!$C$82*(Q81-P81)</f>
        <v>-0.00033738789403448</v>
      </c>
      <c r="R84" s="24" t="n">
        <f aca="false">Drivers!$C$82*(R81-Q81)</f>
        <v>-0.00162580813615381</v>
      </c>
      <c r="S84" s="24" t="n">
        <f aca="false">Drivers!$C$82*(S81-R81)</f>
        <v>-0.0113788919734307</v>
      </c>
      <c r="T84" s="24" t="n">
        <f aca="false">Drivers!$C$82*(T81-S81)</f>
        <v>-0.00319649813396206</v>
      </c>
      <c r="U84" s="24" t="n">
        <f aca="false">Drivers!$C$82*(U81-T81)</f>
        <v>-0.00323653745128292</v>
      </c>
    </row>
    <row r="85" customFormat="false" ht="15" hidden="false" customHeight="false" outlineLevel="0" collapsed="false">
      <c r="A85" s="3" t="s">
        <v>373</v>
      </c>
      <c r="B85" s="35" t="s">
        <v>326</v>
      </c>
      <c r="C85" s="29" t="n">
        <f aca="false">C52+C68+C72+C76-C78-C80</f>
        <v>-1.8040345</v>
      </c>
      <c r="D85" s="29" t="n">
        <f aca="false">D52+D68+D72+D76-D78-D80</f>
        <v>-1.51945033333333</v>
      </c>
      <c r="E85" s="29" t="n">
        <f aca="false">E52+E68+E72+E76-E78-E80</f>
        <v>-1.34286083333333</v>
      </c>
      <c r="F85" s="29" t="n">
        <f aca="false">F52+F68+F72+F76-F78-F80</f>
        <v>-1.10293969333333</v>
      </c>
      <c r="G85" s="29" t="n">
        <f aca="false">G52+G68+G72+G76-G78-G80</f>
        <v>-0.725035655200001</v>
      </c>
      <c r="H85" s="29" t="n">
        <f aca="false">H52+H68+H72+H76-H78-H80</f>
        <v>-0.629111677344</v>
      </c>
      <c r="I85" s="29" t="n">
        <f aca="false">I52+I68+I72+I76-I78-I80</f>
        <v>-0.541269516090881</v>
      </c>
      <c r="J85" s="29" t="n">
        <f aca="false">J52+J68+J72+J76-J78-J80</f>
        <v>-0.467872580412698</v>
      </c>
      <c r="K85" s="29" t="n">
        <f aca="false">K52+K68+K72+K76-K78-K80</f>
        <v>-0.382821958020952</v>
      </c>
      <c r="L85" s="29" t="n">
        <f aca="false">L52+L68+L72+L76-L78-L80</f>
        <v>-0.357401279261371</v>
      </c>
      <c r="M85" s="29" t="n">
        <f aca="false">M52+M68+M72+M76-M78-M80</f>
        <v>-0.351903924396998</v>
      </c>
      <c r="N85" s="29" t="n">
        <f aca="false">N52+N68+N72+N76-N78-N80</f>
        <v>-0.32960983094833</v>
      </c>
      <c r="O85" s="29" t="n">
        <f aca="false">O52+O68+O72+O76-O78-O80</f>
        <v>-0.311938301093421</v>
      </c>
      <c r="P85" s="29" t="n">
        <f aca="false">P52+P68+P72+P76-P78-P80</f>
        <v>-0.345222889130891</v>
      </c>
      <c r="Q85" s="29" t="n">
        <f aca="false">Q52+Q68+Q72+Q76-Q78-Q80</f>
        <v>-0.386844369008799</v>
      </c>
      <c r="R85" s="29" t="n">
        <f aca="false">R52+R68+R72+R76-R78-R80</f>
        <v>-0.436241301922359</v>
      </c>
      <c r="S85" s="29" t="n">
        <f aca="false">S52+S68+S72+S76-S78-S80</f>
        <v>-0.535985243983522</v>
      </c>
      <c r="T85" s="29" t="n">
        <f aca="false">T52+T68+T72+T76-T78-T80</f>
        <v>-0.594967249965454</v>
      </c>
      <c r="U85" s="29" t="n">
        <f aca="false">U52+U68+U72+U76-U78-U80</f>
        <v>-0.65492156624498</v>
      </c>
    </row>
    <row r="86" customFormat="false" ht="15" hidden="false" customHeight="false" outlineLevel="0" collapsed="false">
      <c r="A86" s="9" t="s">
        <v>374</v>
      </c>
      <c r="B86" s="35" t="s">
        <v>326</v>
      </c>
      <c r="C86" s="24" t="n">
        <f aca="false">Drivers!$C$32</f>
        <v>12.5</v>
      </c>
      <c r="D86" s="24" t="n">
        <f aca="false">C89</f>
        <v>14.3040345</v>
      </c>
      <c r="E86" s="24" t="n">
        <f aca="false">D89</f>
        <v>15.8234848333333</v>
      </c>
      <c r="F86" s="24" t="n">
        <f aca="false">E89</f>
        <v>17.1663456666667</v>
      </c>
      <c r="G86" s="24" t="n">
        <f aca="false">F89</f>
        <v>18.26928536</v>
      </c>
      <c r="H86" s="24" t="n">
        <f aca="false">G89</f>
        <v>18.9943210152</v>
      </c>
      <c r="I86" s="24" t="n">
        <f aca="false">H89</f>
        <v>19.623432692544</v>
      </c>
      <c r="J86" s="24" t="n">
        <f aca="false">I89</f>
        <v>20.1647022086349</v>
      </c>
      <c r="K86" s="24" t="n">
        <f aca="false">J89</f>
        <v>20.6325747890476</v>
      </c>
      <c r="L86" s="24" t="n">
        <f aca="false">K89</f>
        <v>21.0153967470685</v>
      </c>
      <c r="M86" s="24" t="n">
        <f aca="false">L89</f>
        <v>21.3727980263299</v>
      </c>
      <c r="N86" s="24" t="n">
        <f aca="false">M89</f>
        <v>21.7247019507269</v>
      </c>
      <c r="O86" s="24" t="n">
        <f aca="false">N89</f>
        <v>22.0543117816752</v>
      </c>
      <c r="P86" s="24" t="n">
        <f aca="false">O89</f>
        <v>22.3662500827687</v>
      </c>
      <c r="Q86" s="24" t="n">
        <f aca="false">P89</f>
        <v>22.7114729718995</v>
      </c>
      <c r="R86" s="24" t="n">
        <f aca="false">Q89</f>
        <v>23.0983173409083</v>
      </c>
      <c r="S86" s="24" t="n">
        <f aca="false">R89</f>
        <v>23.5345586428307</v>
      </c>
      <c r="T86" s="24" t="n">
        <f aca="false">S89</f>
        <v>24.0705438868142</v>
      </c>
      <c r="U86" s="24" t="n">
        <f aca="false">T89</f>
        <v>24.6655111367797</v>
      </c>
    </row>
    <row r="87" customFormat="false" ht="15" hidden="false" customHeight="false" outlineLevel="0" collapsed="false">
      <c r="A87" s="9" t="s">
        <v>375</v>
      </c>
      <c r="B87" s="35" t="s">
        <v>326</v>
      </c>
      <c r="C87" s="24" t="n">
        <f aca="false">IF(C85&gt;0,MIN(C86,Drivers!$C$33*C85),0)</f>
        <v>0</v>
      </c>
      <c r="D87" s="24" t="n">
        <f aca="false">IF(D85&gt;0,MIN(D86,Drivers!$C$33*D85),0)</f>
        <v>0</v>
      </c>
      <c r="E87" s="24" t="n">
        <f aca="false">IF(E85&gt;0,MIN(E86,Drivers!$C$33*E85),0)</f>
        <v>0</v>
      </c>
      <c r="F87" s="24" t="n">
        <f aca="false">IF(F85&gt;0,MIN(F86,Drivers!$C$33*F85),0)</f>
        <v>0</v>
      </c>
      <c r="G87" s="24" t="n">
        <f aca="false">IF(G85&gt;0,MIN(G86,Drivers!$C$33*G85),0)</f>
        <v>0</v>
      </c>
      <c r="H87" s="24" t="n">
        <f aca="false">IF(H85&gt;0,MIN(H86,Drivers!$C$33*H85),0)</f>
        <v>0</v>
      </c>
      <c r="I87" s="24" t="n">
        <f aca="false">IF(I85&gt;0,MIN(I86,Drivers!$C$33*I85),0)</f>
        <v>0</v>
      </c>
      <c r="J87" s="24" t="n">
        <f aca="false">IF(J85&gt;0,MIN(J86,Drivers!$C$33*J85),0)</f>
        <v>0</v>
      </c>
      <c r="K87" s="24" t="n">
        <f aca="false">IF(K85&gt;0,MIN(K86,Drivers!$C$33*K85),0)</f>
        <v>0</v>
      </c>
      <c r="L87" s="24" t="n">
        <f aca="false">IF(L85&gt;0,MIN(L86,Drivers!$C$33*L85),0)</f>
        <v>0</v>
      </c>
      <c r="M87" s="24" t="n">
        <f aca="false">IF(M85&gt;0,MIN(M86,Drivers!$C$33*M85),0)</f>
        <v>0</v>
      </c>
      <c r="N87" s="24" t="n">
        <f aca="false">IF(N85&gt;0,MIN(N86,Drivers!$C$33*N85),0)</f>
        <v>0</v>
      </c>
      <c r="O87" s="24" t="n">
        <f aca="false">IF(O85&gt;0,MIN(O86,Drivers!$C$33*O85),0)</f>
        <v>0</v>
      </c>
      <c r="P87" s="24" t="n">
        <f aca="false">IF(P85&gt;0,MIN(P86,Drivers!$C$33*P85),0)</f>
        <v>0</v>
      </c>
      <c r="Q87" s="24" t="n">
        <f aca="false">IF(Q85&gt;0,MIN(Q86,Drivers!$C$33*Q85),0)</f>
        <v>0</v>
      </c>
      <c r="R87" s="24" t="n">
        <f aca="false">IF(R85&gt;0,MIN(R86,Drivers!$C$33*R85),0)</f>
        <v>0</v>
      </c>
      <c r="S87" s="24" t="n">
        <f aca="false">IF(S85&gt;0,MIN(S86,Drivers!$C$33*S85),0)</f>
        <v>0</v>
      </c>
      <c r="T87" s="24" t="n">
        <f aca="false">IF(T85&gt;0,MIN(T86,Drivers!$C$33*T85),0)</f>
        <v>0</v>
      </c>
      <c r="U87" s="24" t="n">
        <f aca="false">IF(U85&gt;0,MIN(U86,Drivers!$C$33*U85),0)</f>
        <v>0</v>
      </c>
    </row>
    <row r="88" customFormat="false" ht="15" hidden="false" customHeight="false" outlineLevel="0" collapsed="false">
      <c r="A88" s="9" t="s">
        <v>376</v>
      </c>
      <c r="B88" s="35" t="s">
        <v>326</v>
      </c>
      <c r="C88" s="24" t="n">
        <f aca="false">IF(C85&gt;0,Drivers!$C$31*(C85-C87),0)</f>
        <v>0</v>
      </c>
      <c r="D88" s="24" t="n">
        <f aca="false">IF(D85&gt;0,Drivers!$C$31*(D85-D87),0)</f>
        <v>0</v>
      </c>
      <c r="E88" s="24" t="n">
        <f aca="false">IF(E85&gt;0,Drivers!$C$31*(E85-E87),0)</f>
        <v>0</v>
      </c>
      <c r="F88" s="24" t="n">
        <f aca="false">IF(F85&gt;0,Drivers!$C$31*(F85-F87),0)</f>
        <v>0</v>
      </c>
      <c r="G88" s="24" t="n">
        <f aca="false">IF(G85&gt;0,Drivers!$C$31*(G85-G87),0)</f>
        <v>0</v>
      </c>
      <c r="H88" s="24" t="n">
        <f aca="false">IF(H85&gt;0,Drivers!$C$31*(H85-H87),0)</f>
        <v>0</v>
      </c>
      <c r="I88" s="24" t="n">
        <f aca="false">IF(I85&gt;0,Drivers!$C$31*(I85-I87),0)</f>
        <v>0</v>
      </c>
      <c r="J88" s="24" t="n">
        <f aca="false">IF(J85&gt;0,Drivers!$C$31*(J85-J87),0)</f>
        <v>0</v>
      </c>
      <c r="K88" s="24" t="n">
        <f aca="false">IF(K85&gt;0,Drivers!$C$31*(K85-K87),0)</f>
        <v>0</v>
      </c>
      <c r="L88" s="24" t="n">
        <f aca="false">IF(L85&gt;0,Drivers!$C$31*(L85-L87),0)</f>
        <v>0</v>
      </c>
      <c r="M88" s="24" t="n">
        <f aca="false">IF(M85&gt;0,Drivers!$C$31*(M85-M87),0)</f>
        <v>0</v>
      </c>
      <c r="N88" s="24" t="n">
        <f aca="false">IF(N85&gt;0,Drivers!$C$31*(N85-N87),0)</f>
        <v>0</v>
      </c>
      <c r="O88" s="24" t="n">
        <f aca="false">IF(O85&gt;0,Drivers!$C$31*(O85-O87),0)</f>
        <v>0</v>
      </c>
      <c r="P88" s="24" t="n">
        <f aca="false">IF(P85&gt;0,Drivers!$C$31*(P85-P87),0)</f>
        <v>0</v>
      </c>
      <c r="Q88" s="24" t="n">
        <f aca="false">IF(Q85&gt;0,Drivers!$C$31*(Q85-Q87),0)</f>
        <v>0</v>
      </c>
      <c r="R88" s="24" t="n">
        <f aca="false">IF(R85&gt;0,Drivers!$C$31*(R85-R87),0)</f>
        <v>0</v>
      </c>
      <c r="S88" s="24" t="n">
        <f aca="false">IF(S85&gt;0,Drivers!$C$31*(S85-S87),0)</f>
        <v>0</v>
      </c>
      <c r="T88" s="24" t="n">
        <f aca="false">IF(T85&gt;0,Drivers!$C$31*(T85-T87),0)</f>
        <v>0</v>
      </c>
      <c r="U88" s="24" t="n">
        <f aca="false">IF(U85&gt;0,Drivers!$C$31*(U85-U87),0)</f>
        <v>0</v>
      </c>
    </row>
    <row r="89" customFormat="false" ht="15" hidden="false" customHeight="false" outlineLevel="0" collapsed="false">
      <c r="A89" s="9" t="s">
        <v>377</v>
      </c>
      <c r="B89" s="35" t="s">
        <v>326</v>
      </c>
      <c r="C89" s="24" t="n">
        <f aca="false">C86-C87+IF(C85&lt;0,-C85,0)</f>
        <v>14.3040345</v>
      </c>
      <c r="D89" s="24" t="n">
        <f aca="false">D86-D87+IF(D85&lt;0,-D85,0)</f>
        <v>15.8234848333333</v>
      </c>
      <c r="E89" s="24" t="n">
        <f aca="false">E86-E87+IF(E85&lt;0,-E85,0)</f>
        <v>17.1663456666667</v>
      </c>
      <c r="F89" s="24" t="n">
        <f aca="false">F86-F87+IF(F85&lt;0,-F85,0)</f>
        <v>18.26928536</v>
      </c>
      <c r="G89" s="24" t="n">
        <f aca="false">G86-G87+IF(G85&lt;0,-G85,0)</f>
        <v>18.9943210152</v>
      </c>
      <c r="H89" s="24" t="n">
        <f aca="false">H86-H87+IF(H85&lt;0,-H85,0)</f>
        <v>19.623432692544</v>
      </c>
      <c r="I89" s="24" t="n">
        <f aca="false">I86-I87+IF(I85&lt;0,-I85,0)</f>
        <v>20.1647022086349</v>
      </c>
      <c r="J89" s="24" t="n">
        <f aca="false">J86-J87+IF(J85&lt;0,-J85,0)</f>
        <v>20.6325747890476</v>
      </c>
      <c r="K89" s="24" t="n">
        <f aca="false">K86-K87+IF(K85&lt;0,-K85,0)</f>
        <v>21.0153967470685</v>
      </c>
      <c r="L89" s="24" t="n">
        <f aca="false">L86-L87+IF(L85&lt;0,-L85,0)</f>
        <v>21.3727980263299</v>
      </c>
      <c r="M89" s="24" t="n">
        <f aca="false">M86-M87+IF(M85&lt;0,-M85,0)</f>
        <v>21.7247019507269</v>
      </c>
      <c r="N89" s="24" t="n">
        <f aca="false">N86-N87+IF(N85&lt;0,-N85,0)</f>
        <v>22.0543117816752</v>
      </c>
      <c r="O89" s="24" t="n">
        <f aca="false">O86-O87+IF(O85&lt;0,-O85,0)</f>
        <v>22.3662500827687</v>
      </c>
      <c r="P89" s="24" t="n">
        <f aca="false">P86-P87+IF(P85&lt;0,-P85,0)</f>
        <v>22.7114729718995</v>
      </c>
      <c r="Q89" s="24" t="n">
        <f aca="false">Q86-Q87+IF(Q85&lt;0,-Q85,0)</f>
        <v>23.0983173409083</v>
      </c>
      <c r="R89" s="24" t="n">
        <f aca="false">R86-R87+IF(R85&lt;0,-R85,0)</f>
        <v>23.5345586428307</v>
      </c>
      <c r="S89" s="24" t="n">
        <f aca="false">S86-S87+IF(S85&lt;0,-S85,0)</f>
        <v>24.0705438868142</v>
      </c>
      <c r="T89" s="24" t="n">
        <f aca="false">T86-T87+IF(T85&lt;0,-T85,0)</f>
        <v>24.6655111367797</v>
      </c>
      <c r="U89" s="24" t="n">
        <f aca="false">U86-U87+IF(U85&lt;0,-U85,0)</f>
        <v>25.3204327030247</v>
      </c>
    </row>
    <row r="90" customFormat="false" ht="15" hidden="false" customHeight="false" outlineLevel="0" collapsed="false">
      <c r="A90" s="3" t="s">
        <v>378</v>
      </c>
      <c r="B90" s="35" t="s">
        <v>326</v>
      </c>
      <c r="C90" s="29" t="n">
        <f aca="false">C85-C88-(C82-C83)-C84</f>
        <v>-1.8484745</v>
      </c>
      <c r="D90" s="29" t="n">
        <f aca="false">D85-D88-(D82-D83)-D84</f>
        <v>-1.55355033333333</v>
      </c>
      <c r="E90" s="29" t="n">
        <f aca="false">E85-E88-(E82-E83)-E84</f>
        <v>-1.38056083333333</v>
      </c>
      <c r="F90" s="29" t="n">
        <f aca="false">F85-F88-(F82-F83)-F84</f>
        <v>-1.13938969333333</v>
      </c>
      <c r="G90" s="29" t="n">
        <f aca="false">G85-G88-(G82-G83)-G84</f>
        <v>-0.769409895200001</v>
      </c>
      <c r="H90" s="29" t="n">
        <f aca="false">H85-H88-(H82-H83)-H84</f>
        <v>-0.657633757344</v>
      </c>
      <c r="I90" s="29" t="n">
        <f aca="false">I85-I88-(I82-I83)-I84</f>
        <v>-0.576931868090881</v>
      </c>
      <c r="J90" s="29" t="n">
        <f aca="false">J85-J88-(J82-J83)-J84</f>
        <v>-0.501945340412698</v>
      </c>
      <c r="K90" s="29" t="n">
        <f aca="false">K85-K88-(K82-K83)-K84</f>
        <v>-0.418901912420952</v>
      </c>
      <c r="L90" s="29" t="n">
        <f aca="false">L85-L88-(L82-L83)-L84</f>
        <v>-0.391507492109371</v>
      </c>
      <c r="M90" s="29" t="n">
        <f aca="false">M85-M88-(M82-M83)-M84</f>
        <v>-0.385081962300038</v>
      </c>
      <c r="N90" s="29" t="n">
        <f aca="false">N85-N88-(N82-N83)-N84</f>
        <v>-0.35919217996531</v>
      </c>
      <c r="O90" s="29" t="n">
        <f aca="false">O85-O88-(O82-O83)-O84</f>
        <v>-0.34036721561006</v>
      </c>
      <c r="P90" s="29" t="n">
        <f aca="false">P85-P88-(P82-P83)-P84</f>
        <v>-0.372074827917198</v>
      </c>
      <c r="Q90" s="29" t="n">
        <f aca="false">Q85-Q88-(Q82-Q83)-Q84</f>
        <v>-0.41227597365938</v>
      </c>
      <c r="R90" s="29" t="n">
        <f aca="false">R85-R88-(R82-R83)-R84</f>
        <v>-0.460254421679928</v>
      </c>
      <c r="S90" s="29" t="n">
        <f aca="false">S85-S88-(S82-S83)-S84</f>
        <v>-0.549334968545939</v>
      </c>
      <c r="T90" s="29" t="n">
        <f aca="false">T85-T88-(T82-T83)-T84</f>
        <v>-0.616243648516624</v>
      </c>
      <c r="U90" s="29" t="n">
        <f aca="false">U85-U88-(U82-U83)-U84</f>
        <v>-0.675899002482726</v>
      </c>
    </row>
    <row r="91" customFormat="false" ht="15" hidden="false" customHeight="false" outlineLevel="0" collapsed="false">
      <c r="A91" s="9" t="s">
        <v>379</v>
      </c>
      <c r="B91" s="35" t="s">
        <v>380</v>
      </c>
      <c r="C91" s="33" t="n">
        <f aca="false">0.25+C$36+0.5</f>
        <v>0.75</v>
      </c>
      <c r="D91" s="33" t="n">
        <f aca="false">0.25+D$36+0.5</f>
        <v>1.75</v>
      </c>
      <c r="E91" s="33" t="n">
        <f aca="false">0.25+E$36+0.5</f>
        <v>2.75</v>
      </c>
      <c r="F91" s="33" t="n">
        <f aca="false">0.25+F$36+0.5</f>
        <v>3.75</v>
      </c>
      <c r="G91" s="33" t="n">
        <f aca="false">0.25+G$36+0.5</f>
        <v>4.75</v>
      </c>
      <c r="H91" s="33" t="n">
        <f aca="false">0.25+H$36+0.5</f>
        <v>5.75</v>
      </c>
      <c r="I91" s="33" t="n">
        <f aca="false">0.25+I$36+0.5</f>
        <v>6.75</v>
      </c>
      <c r="J91" s="33" t="n">
        <f aca="false">0.25+J$36+0.5</f>
        <v>7.75</v>
      </c>
      <c r="K91" s="33" t="n">
        <f aca="false">0.25+K$36+0.5</f>
        <v>8.75</v>
      </c>
      <c r="L91" s="33" t="n">
        <f aca="false">0.25+L$36+0.5</f>
        <v>9.75</v>
      </c>
      <c r="M91" s="33" t="n">
        <f aca="false">0.25+M$36+0.5</f>
        <v>10.75</v>
      </c>
      <c r="N91" s="33" t="n">
        <f aca="false">0.25+N$36+0.5</f>
        <v>11.75</v>
      </c>
      <c r="O91" s="33" t="n">
        <f aca="false">0.25+O$36+0.5</f>
        <v>12.75</v>
      </c>
      <c r="P91" s="33" t="n">
        <f aca="false">0.25+P$36+0.5</f>
        <v>13.75</v>
      </c>
      <c r="Q91" s="33" t="n">
        <f aca="false">0.25+Q$36+0.5</f>
        <v>14.75</v>
      </c>
      <c r="R91" s="33" t="n">
        <f aca="false">0.25+R$36+0.5</f>
        <v>15.75</v>
      </c>
      <c r="S91" s="33" t="n">
        <f aca="false">0.25+S$36+0.5</f>
        <v>16.75</v>
      </c>
      <c r="T91" s="33" t="n">
        <f aca="false">0.25+T$36+0.5</f>
        <v>17.75</v>
      </c>
      <c r="U91" s="33" t="n">
        <f aca="false">0.25+U$36+0.5</f>
        <v>18.75</v>
      </c>
    </row>
    <row r="92" customFormat="false" ht="15" hidden="false" customHeight="false" outlineLevel="0" collapsed="false">
      <c r="A92" s="9" t="s">
        <v>381</v>
      </c>
      <c r="B92" s="35" t="s">
        <v>382</v>
      </c>
      <c r="C92" s="36" t="n">
        <f aca="false">(1+$C$19)^(-C91)</f>
        <v>0.928292188409754</v>
      </c>
      <c r="D92" s="36" t="n">
        <f aca="false">(1+$C$19)^(-D91)</f>
        <v>0.840615945313551</v>
      </c>
      <c r="E92" s="36" t="n">
        <f aca="false">(1+$C$19)^(-E91)</f>
        <v>0.761220633264105</v>
      </c>
      <c r="F92" s="36" t="n">
        <f aca="false">(1+$C$19)^(-F91)</f>
        <v>0.689324126835194</v>
      </c>
      <c r="G92" s="36" t="n">
        <f aca="false">(1+$C$19)^(-G91)</f>
        <v>0.624218171543235</v>
      </c>
      <c r="H92" s="36" t="n">
        <f aca="false">(1+$C$19)^(-H91)</f>
        <v>0.565261406812673</v>
      </c>
      <c r="I92" s="36" t="n">
        <f aca="false">(1+$C$19)^(-I91)</f>
        <v>0.511873047915125</v>
      </c>
      <c r="J92" s="36" t="n">
        <f aca="false">(1+$C$19)^(-J91)</f>
        <v>0.463527164642873</v>
      </c>
      <c r="K92" s="36" t="n">
        <f aca="false">(1+$C$19)^(-K91)</f>
        <v>0.419747500355767</v>
      </c>
      <c r="L92" s="36" t="n">
        <f aca="false">(1+$C$19)^(-L91)</f>
        <v>0.38010278036382</v>
      </c>
      <c r="M92" s="36" t="n">
        <f aca="false">(1+$C$19)^(-M91)</f>
        <v>0.344202463428254</v>
      </c>
      <c r="N92" s="36" t="n">
        <f aca="false">(1+$C$19)^(-N91)</f>
        <v>0.31169289452889</v>
      </c>
      <c r="O92" s="36" t="n">
        <f aca="false">(1+$C$19)^(-O91)</f>
        <v>0.282253820998723</v>
      </c>
      <c r="P92" s="36" t="n">
        <f aca="false">(1+$C$19)^(-P91)</f>
        <v>0.255595237705989</v>
      </c>
      <c r="Q92" s="36" t="n">
        <f aca="false">(1+$C$19)^(-Q91)</f>
        <v>0.23145453020555</v>
      </c>
      <c r="R92" s="36" t="n">
        <f aca="false">(1+$C$19)^(-R91)</f>
        <v>0.209593887716698</v>
      </c>
      <c r="S92" s="36" t="n">
        <f aca="false">(1+$C$19)^(-S91)</f>
        <v>0.189797960442541</v>
      </c>
      <c r="T92" s="36" t="n">
        <f aca="false">(1+$C$19)^(-T91)</f>
        <v>0.171871738153166</v>
      </c>
      <c r="U92" s="36" t="n">
        <f aca="false">(1+$C$19)^(-U91)</f>
        <v>0.155638629134444</v>
      </c>
    </row>
    <row r="93" customFormat="false" ht="15" hidden="false" customHeight="false" outlineLevel="0" collapsed="false">
      <c r="A93" s="9" t="s">
        <v>383</v>
      </c>
      <c r="B93" s="35" t="s">
        <v>326</v>
      </c>
      <c r="C93" s="24" t="n">
        <f aca="false">C90*C92</f>
        <v>-1.71592443882463</v>
      </c>
      <c r="D93" s="24" t="n">
        <f aca="false">D90*D92</f>
        <v>-1.30593918204718</v>
      </c>
      <c r="E93" s="24" t="n">
        <f aca="false">E90*E92</f>
        <v>-1.05091139180962</v>
      </c>
      <c r="F93" s="24" t="n">
        <f aca="false">F90*F92</f>
        <v>-0.78540880548202</v>
      </c>
      <c r="G93" s="24" t="n">
        <f aca="false">G90*G92</f>
        <v>-0.480279637949016</v>
      </c>
      <c r="H93" s="24" t="n">
        <f aca="false">H90*H92</f>
        <v>-0.371734982843774</v>
      </c>
      <c r="I93" s="24" t="n">
        <f aca="false">I90*I92</f>
        <v>-0.295315873759046</v>
      </c>
      <c r="J93" s="24" t="n">
        <f aca="false">J90*J92</f>
        <v>-0.2326653004472</v>
      </c>
      <c r="K93" s="24" t="n">
        <f aca="false">K90*K92</f>
        <v>-0.175833030632945</v>
      </c>
      <c r="L93" s="24" t="n">
        <f aca="false">L90*L92</f>
        <v>-0.148813086284039</v>
      </c>
      <c r="M93" s="24" t="n">
        <f aca="false">M90*M92</f>
        <v>-0.132546160045459</v>
      </c>
      <c r="N93" s="24" t="n">
        <f aca="false">N90*N92</f>
        <v>-0.111957650265529</v>
      </c>
      <c r="O93" s="24" t="n">
        <f aca="false">O90*O92</f>
        <v>-0.0960699471486359</v>
      </c>
      <c r="P93" s="24" t="n">
        <f aca="false">P90*P92</f>
        <v>-0.0951005540859111</v>
      </c>
      <c r="Q93" s="24" t="n">
        <f aca="false">Q90*Q92</f>
        <v>-0.0954231417983674</v>
      </c>
      <c r="R93" s="24" t="n">
        <f aca="false">R90*R92</f>
        <v>-0.0964665135786967</v>
      </c>
      <c r="S93" s="24" t="n">
        <f aca="false">S90*S92</f>
        <v>-0.104262656629787</v>
      </c>
      <c r="T93" s="24" t="n">
        <f aca="false">T90*T92</f>
        <v>-0.105914866996401</v>
      </c>
      <c r="U93" s="24" t="n">
        <f aca="false">U90*U92</f>
        <v>-0.105195994179749</v>
      </c>
    </row>
    <row r="94" customFormat="false" ht="15" hidden="false" customHeight="false" outlineLevel="0" collapsed="false">
      <c r="A94" s="9" t="s">
        <v>384</v>
      </c>
      <c r="B94" s="35" t="s">
        <v>326</v>
      </c>
      <c r="C94" s="24" t="n">
        <f aca="false">IF(C$35&lt;=2032,Drivers!$C$133*C80,C80)</f>
        <v>0.252</v>
      </c>
      <c r="D94" s="24" t="n">
        <f aca="false">IF(D$35&lt;=2032,Drivers!$C$133*D80,D80)</f>
        <v>0.2415</v>
      </c>
      <c r="E94" s="24" t="n">
        <f aca="false">IF(E$35&lt;=2032,Drivers!$C$133*E80,E80)</f>
        <v>0.2352</v>
      </c>
      <c r="F94" s="24" t="n">
        <f aca="false">IF(F$35&lt;=2032,Drivers!$C$133*F80,F80)</f>
        <v>0.231</v>
      </c>
      <c r="G94" s="24" t="n">
        <f aca="false">IF(G$35&lt;=2032,Drivers!$C$133*G80,G80)</f>
        <v>0.231</v>
      </c>
      <c r="H94" s="24" t="n">
        <f aca="false">IF(H$35&lt;=2032,Drivers!$C$133*H80,H80)</f>
        <v>0.231</v>
      </c>
      <c r="I94" s="24" t="n">
        <f aca="false">IF(I$35&lt;=2032,Drivers!$C$133*I80,I80)</f>
        <v>0.6732</v>
      </c>
      <c r="J94" s="24" t="n">
        <f aca="false">IF(J$35&lt;=2032,Drivers!$C$133*J80,J80)</f>
        <v>0.686664</v>
      </c>
      <c r="K94" s="24" t="n">
        <f aca="false">IF(K$35&lt;=2032,Drivers!$C$133*K80,K80)</f>
        <v>0.70039728</v>
      </c>
      <c r="L94" s="24" t="n">
        <f aca="false">IF(L$35&lt;=2032,Drivers!$C$133*L80,L80)</f>
        <v>0.7144052256</v>
      </c>
      <c r="M94" s="24" t="n">
        <f aca="false">IF(M$35&lt;=2032,Drivers!$C$133*M80,M80)</f>
        <v>0.728693330112</v>
      </c>
      <c r="N94" s="24" t="n">
        <f aca="false">IF(N$35&lt;=2032,Drivers!$C$133*N80,N80)</f>
        <v>0.74326719671424</v>
      </c>
      <c r="O94" s="24" t="n">
        <f aca="false">IF(O$35&lt;=2032,Drivers!$C$133*O80,O80)</f>
        <v>0.758132540648525</v>
      </c>
      <c r="P94" s="24" t="n">
        <f aca="false">IF(P$35&lt;=2032,Drivers!$C$133*P80,P80)</f>
        <v>0.773295191461496</v>
      </c>
      <c r="Q94" s="24" t="n">
        <f aca="false">IF(Q$35&lt;=2032,Drivers!$C$133*Q80,Q80)</f>
        <v>0.788761095290726</v>
      </c>
      <c r="R94" s="24" t="n">
        <f aca="false">IF(R$35&lt;=2032,Drivers!$C$133*R80,R80)</f>
        <v>0.80453631719654</v>
      </c>
      <c r="S94" s="24" t="n">
        <f aca="false">IF(S$35&lt;=2032,Drivers!$C$133*S80,S80)</f>
        <v>0.820627043540471</v>
      </c>
      <c r="T94" s="24" t="n">
        <f aca="false">IF(T$35&lt;=2032,Drivers!$C$133*T80,T80)</f>
        <v>0.83703958441128</v>
      </c>
      <c r="U94" s="24" t="n">
        <f aca="false">IF(U$35&lt;=2032,Drivers!$C$133*U80,U80)</f>
        <v>0.853780376099506</v>
      </c>
    </row>
    <row r="96" customFormat="false" ht="15" hidden="false" customHeight="false" outlineLevel="0" collapsed="false">
      <c r="A96" s="3" t="s">
        <v>385</v>
      </c>
    </row>
    <row r="97" customFormat="false" ht="15" hidden="false" customHeight="false" outlineLevel="0" collapsed="false">
      <c r="A97" s="9" t="s">
        <v>386</v>
      </c>
      <c r="C97" s="24" t="n">
        <f aca="false">Drivers!$C$34*(1+$C$19)^(-0.125)</f>
        <v>-0.454330557454128</v>
      </c>
    </row>
    <row r="98" customFormat="false" ht="15" hidden="false" customHeight="false" outlineLevel="0" collapsed="false">
      <c r="A98" s="9" t="s">
        <v>387</v>
      </c>
      <c r="C98" s="24" t="n">
        <f aca="false">SUM(C93:U93)</f>
        <v>-7.505763214808</v>
      </c>
    </row>
    <row r="99" customFormat="false" ht="15" hidden="false" customHeight="false" outlineLevel="0" collapsed="false">
      <c r="A99" s="9" t="s">
        <v>388</v>
      </c>
      <c r="C99" s="24" t="n">
        <f aca="false">U90*(1+$C$20)/($C$19-$C$20)</f>
        <v>-5.85424332859054</v>
      </c>
    </row>
    <row r="100" customFormat="false" ht="15" hidden="false" customHeight="false" outlineLevel="0" collapsed="false">
      <c r="A100" s="9" t="s">
        <v>389</v>
      </c>
      <c r="C100" s="24" t="n">
        <f aca="false">$C$99*(1+$C$19)^(-19.25)</f>
        <v>-0.867050974120117</v>
      </c>
    </row>
    <row r="101" customFormat="false" ht="15" hidden="false" customHeight="false" outlineLevel="0" collapsed="false">
      <c r="A101" s="9" t="s">
        <v>390</v>
      </c>
      <c r="C101" s="24" t="n">
        <f aca="false">SUMPRODUCT(C94:U94,C92:U92)+U94*(1+$C$20)/($C$19-$C$20)*(1+$C$19)^(-19.25)</f>
        <v>5.05144987557527</v>
      </c>
    </row>
    <row r="102" customFormat="false" ht="15" hidden="false" customHeight="false" outlineLevel="0" collapsed="false">
      <c r="A102" s="9" t="s">
        <v>304</v>
      </c>
      <c r="C102" s="24" t="n">
        <f aca="false">$C$18*$C$101*(1-Drivers!$C$31)</f>
        <v>1.02291859980399</v>
      </c>
    </row>
    <row r="103" customFormat="false" ht="15" hidden="false" customHeight="false" outlineLevel="0" collapsed="false">
      <c r="A103" s="3" t="s">
        <v>391</v>
      </c>
      <c r="C103" s="29" t="n">
        <f aca="false">$C$97+$C$98+$C$100+$C$102</f>
        <v>-7.80422614657826</v>
      </c>
    </row>
    <row r="104" customFormat="false" ht="15" hidden="false" customHeight="false" outlineLevel="0" collapsed="false">
      <c r="A104" s="9" t="s">
        <v>392</v>
      </c>
      <c r="C104" s="11" t="n">
        <f aca="false">IF($C$103&gt;0,$C$100/$C$103,0)</f>
        <v>0</v>
      </c>
    </row>
    <row r="105" customFormat="false" ht="15" hidden="false" customHeight="false" outlineLevel="0" collapsed="false">
      <c r="A105" s="9" t="s">
        <v>393</v>
      </c>
      <c r="C105" s="24" t="n">
        <f aca="false">Drivers!$C$13*(Drivers!$C$14+Drivers!$C$15*Drivers!$C$16)*(1+$C$19)^(-Drivers!$C$17)</f>
        <v>0.765190618491352</v>
      </c>
    </row>
    <row r="106" customFormat="false" ht="15" hidden="false" customHeight="false" outlineLevel="0" collapsed="false">
      <c r="A106" s="9" t="s">
        <v>394</v>
      </c>
      <c r="C106" s="24" t="n">
        <f aca="false">Drivers!$C$7+Drivers!$C$8+Drivers!$C$12+$C$105+$C$21-Drivers!$C$18</f>
        <v>5.35219061849135</v>
      </c>
    </row>
    <row r="107" customFormat="false" ht="15" hidden="false" customHeight="false" outlineLevel="0" collapsed="false">
      <c r="A107" s="3" t="s">
        <v>395</v>
      </c>
      <c r="C107" s="29" t="n">
        <f aca="false">$C$103+Drivers!$C$6-$C$106</f>
        <v>-5.11641676506961</v>
      </c>
    </row>
    <row r="108" customFormat="false" ht="15" hidden="false" customHeight="false" outlineLevel="0" collapsed="false">
      <c r="A108" s="9" t="s">
        <v>396</v>
      </c>
      <c r="C108" s="13" t="n">
        <f aca="false">IF(($C$107)*1000/(Drivers!$C$19+Drivers!$C$22)&lt;=Drivers!$C$21,($C$107)*1000/(Drivers!$C$19+Drivers!$C$22),IF((($C$107)*1000+Drivers!$C$20*Drivers!$C$21)/(Drivers!$C$19+Drivers!$C$22+Drivers!$C$20)&lt;=Drivers!$C$10,(($C$107)*1000+Drivers!$C$20*Drivers!$C$21)/(Drivers!$C$19+Drivers!$C$22+Drivers!$C$20),(($C$107)*1000+Drivers!$C$20*Drivers!$C$21+Drivers!$C$11*Drivers!$C$10)/(Drivers!$C$19+Drivers!$C$22+Drivers!$C$20+Drivers!$C$11)))</f>
        <v>-12.4094512856406</v>
      </c>
    </row>
    <row r="109" customFormat="false" ht="15" hidden="false" customHeight="false" outlineLevel="0" collapsed="false">
      <c r="A109" s="3" t="s">
        <v>397</v>
      </c>
      <c r="C109" s="30" t="n">
        <f aca="false">MAX($C$108,Drivers!$C$141)</f>
        <v>6.90160125596957</v>
      </c>
    </row>
    <row r="110" customFormat="false" ht="15" hidden="false" customHeight="false" outlineLevel="0" collapsed="false">
      <c r="A110" s="9" t="s">
        <v>398</v>
      </c>
      <c r="C110" s="33" t="n">
        <f aca="false">($C$107)*1000/$C$108</f>
        <v>412.3</v>
      </c>
    </row>
    <row r="111" customFormat="false" ht="15" hidden="false" customHeight="false" outlineLevel="0" collapsed="false">
      <c r="A111" s="9" t="s">
        <v>399</v>
      </c>
      <c r="C111" s="11" t="n">
        <f aca="false">$C$109/Drivers!$C$5-1</f>
        <v>-0.965318586653419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5" topLeftCell="C36" activePane="bottomRight" state="frozen"/>
      <selection pane="topLeft" activeCell="A1" activeCellId="0" sqref="A1"/>
      <selection pane="topRight" activeCell="C1" activeCellId="0" sqref="C1"/>
      <selection pane="bottomLeft" activeCell="A36" activeCellId="0" sqref="A3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6"/>
    <col collapsed="false" customWidth="true" hidden="false" outlineLevel="0" max="21" min="3" style="0" width="9"/>
  </cols>
  <sheetData>
    <row r="1" customFormat="false" ht="17.35" hidden="false" customHeight="false" outlineLevel="0" collapsed="false">
      <c r="A1" s="1" t="s">
        <v>400</v>
      </c>
    </row>
    <row r="2" customFormat="false" ht="15" hidden="false" customHeight="false" outlineLevel="0" collapsed="false">
      <c r="A2" s="3" t="s">
        <v>317</v>
      </c>
      <c r="C2" s="28" t="n">
        <v>2</v>
      </c>
    </row>
    <row r="4" customFormat="false" ht="15" hidden="false" customHeight="false" outlineLevel="0" collapsed="false">
      <c r="A4" s="3" t="s">
        <v>318</v>
      </c>
    </row>
    <row r="5" customFormat="false" ht="15" hidden="false" customHeight="false" outlineLevel="0" collapsed="false">
      <c r="A5" s="9" t="s">
        <v>149</v>
      </c>
      <c r="C5" s="22" t="n">
        <f aca="false">INDEX(Drivers!$D$39:$H$39,$C$2)</f>
        <v>0.85</v>
      </c>
    </row>
    <row r="6" customFormat="false" ht="15" hidden="false" customHeight="false" outlineLevel="0" collapsed="false">
      <c r="A6" s="9" t="s">
        <v>150</v>
      </c>
      <c r="C6" s="22" t="n">
        <f aca="false">INDEX(Drivers!$D$40:$H$40,$C$2)</f>
        <v>0.6</v>
      </c>
    </row>
    <row r="7" customFormat="false" ht="15" hidden="false" customHeight="false" outlineLevel="0" collapsed="false">
      <c r="A7" s="9" t="s">
        <v>151</v>
      </c>
      <c r="C7" s="22" t="n">
        <f aca="false">INDEX(Drivers!$D$41:$H$41,$C$2)</f>
        <v>0.6</v>
      </c>
    </row>
    <row r="8" customFormat="false" ht="15" hidden="false" customHeight="false" outlineLevel="0" collapsed="false">
      <c r="A8" s="9" t="s">
        <v>152</v>
      </c>
      <c r="C8" s="6" t="n">
        <f aca="false">INDEX(Drivers!$D$42:$H$42,$C$2)</f>
        <v>0.2</v>
      </c>
    </row>
    <row r="9" customFormat="false" ht="15" hidden="false" customHeight="false" outlineLevel="0" collapsed="false">
      <c r="A9" s="9" t="s">
        <v>153</v>
      </c>
      <c r="C9" s="6" t="n">
        <f aca="false">INDEX(Drivers!$D$43:$H$43,$C$2)</f>
        <v>-0.02</v>
      </c>
    </row>
    <row r="10" customFormat="false" ht="15" hidden="false" customHeight="false" outlineLevel="0" collapsed="false">
      <c r="A10" s="9" t="s">
        <v>154</v>
      </c>
      <c r="C10" s="6" t="n">
        <f aca="false">INDEX(Drivers!$D$44:$H$44,$C$2)</f>
        <v>0.85</v>
      </c>
    </row>
    <row r="11" customFormat="false" ht="15" hidden="false" customHeight="false" outlineLevel="0" collapsed="false">
      <c r="A11" s="9" t="s">
        <v>155</v>
      </c>
      <c r="C11" s="22" t="n">
        <f aca="false">INDEX(Drivers!$D$45:$H$45,$C$2)</f>
        <v>1.5</v>
      </c>
    </row>
    <row r="12" customFormat="false" ht="15" hidden="false" customHeight="false" outlineLevel="0" collapsed="false">
      <c r="A12" s="9" t="s">
        <v>156</v>
      </c>
      <c r="C12" s="31" t="n">
        <f aca="false">INDEX(Drivers!$D$46:$H$46,$C$2)</f>
        <v>2028</v>
      </c>
    </row>
    <row r="13" customFormat="false" ht="15" hidden="false" customHeight="false" outlineLevel="0" collapsed="false">
      <c r="A13" s="9" t="s">
        <v>157</v>
      </c>
      <c r="C13" s="22" t="n">
        <f aca="false">INDEX(Drivers!$D$47:$H$47,$C$2)</f>
        <v>0.7</v>
      </c>
    </row>
    <row r="14" customFormat="false" ht="15" hidden="false" customHeight="false" outlineLevel="0" collapsed="false">
      <c r="A14" s="9" t="s">
        <v>158</v>
      </c>
      <c r="C14" s="22" t="n">
        <f aca="false">INDEX(Drivers!$D$48:$H$48,$C$2)</f>
        <v>0.8</v>
      </c>
    </row>
    <row r="15" customFormat="false" ht="15" hidden="false" customHeight="false" outlineLevel="0" collapsed="false">
      <c r="A15" s="9" t="s">
        <v>159</v>
      </c>
      <c r="C15" s="22" t="n">
        <f aca="false">INDEX(Drivers!$D$49:$H$49,$C$2)</f>
        <v>0.75</v>
      </c>
    </row>
    <row r="16" customFormat="false" ht="15" hidden="false" customHeight="false" outlineLevel="0" collapsed="false">
      <c r="A16" s="9" t="s">
        <v>160</v>
      </c>
      <c r="C16" s="6" t="n">
        <f aca="false">INDEX(Drivers!$D$50:$H$50,$C$2)</f>
        <v>0.55</v>
      </c>
    </row>
    <row r="17" customFormat="false" ht="15" hidden="false" customHeight="false" outlineLevel="0" collapsed="false">
      <c r="A17" s="9" t="s">
        <v>161</v>
      </c>
      <c r="C17" s="22" t="n">
        <f aca="false">INDEX(Drivers!$D$51:$H$51,$C$2)</f>
        <v>0.85</v>
      </c>
    </row>
    <row r="18" customFormat="false" ht="15" hidden="false" customHeight="false" outlineLevel="0" collapsed="false">
      <c r="A18" s="9" t="s">
        <v>162</v>
      </c>
      <c r="C18" s="22" t="n">
        <f aca="false">INDEX(Drivers!$D$52:$H$52,$C$2)</f>
        <v>0.5</v>
      </c>
    </row>
    <row r="19" customFormat="false" ht="15" hidden="false" customHeight="false" outlineLevel="0" collapsed="false">
      <c r="A19" s="9" t="s">
        <v>163</v>
      </c>
      <c r="C19" s="6" t="n">
        <f aca="false">INDEX(Drivers!$D$53:$H$53,$C$2)</f>
        <v>0.1043</v>
      </c>
    </row>
    <row r="20" customFormat="false" ht="15" hidden="false" customHeight="false" outlineLevel="0" collapsed="false">
      <c r="A20" s="9" t="s">
        <v>164</v>
      </c>
      <c r="C20" s="6" t="n">
        <f aca="false">INDEX(Drivers!$D$54:$H$54,$C$2)</f>
        <v>-0.01</v>
      </c>
    </row>
    <row r="21" customFormat="false" ht="15" hidden="false" customHeight="false" outlineLevel="0" collapsed="false">
      <c r="A21" s="9" t="s">
        <v>165</v>
      </c>
      <c r="C21" s="22" t="n">
        <f aca="false">INDEX(Drivers!$D$55:$H$55,$C$2)</f>
        <v>0.8</v>
      </c>
    </row>
    <row r="22" customFormat="false" ht="15" hidden="false" customHeight="false" outlineLevel="0" collapsed="false">
      <c r="A22" s="3" t="s">
        <v>319</v>
      </c>
    </row>
    <row r="23" customFormat="false" ht="15" hidden="false" customHeight="false" outlineLevel="0" collapsed="false">
      <c r="A23" s="8" t="s">
        <v>215</v>
      </c>
      <c r="B23" s="8"/>
      <c r="C23" s="8" t="s">
        <v>217</v>
      </c>
      <c r="D23" s="8" t="s">
        <v>320</v>
      </c>
      <c r="E23" s="8" t="s">
        <v>219</v>
      </c>
    </row>
    <row r="24" customFormat="false" ht="15" hidden="false" customHeight="false" outlineLevel="0" collapsed="false">
      <c r="A24" s="5" t="str">
        <f aca="false">Drivers!$B$95</f>
        <v>Adjuvant melanoma IIB-IV (INTerpath-001)</v>
      </c>
      <c r="C24" s="32" t="n">
        <f aca="false">$C$12</f>
        <v>2028</v>
      </c>
      <c r="D24" s="33" t="n">
        <f aca="false">$C$11</f>
        <v>1.5</v>
      </c>
      <c r="E24" s="11" t="n">
        <f aca="false">$C$10</f>
        <v>0.85</v>
      </c>
    </row>
    <row r="25" customFormat="false" ht="15" hidden="false" customHeight="false" outlineLevel="0" collapsed="false">
      <c r="A25" s="5" t="str">
        <f aca="false">Drivers!$B$96</f>
        <v>Adjuvant NSCLC II-IIIB (INTerpath-002)</v>
      </c>
      <c r="C25" s="31" t="n">
        <f aca="false">Drivers!$D$96</f>
        <v>2031</v>
      </c>
      <c r="D25" s="33" t="n">
        <f aca="false">Drivers!$E$96*$C$14</f>
        <v>3.2</v>
      </c>
      <c r="E25" s="11" t="n">
        <f aca="false">MIN(Drivers!$F$96*$C$13,IF($C$13&gt;=10,1,0.95))</f>
        <v>0.315</v>
      </c>
    </row>
    <row r="26" customFormat="false" ht="15" hidden="false" customHeight="false" outlineLevel="0" collapsed="false">
      <c r="A26" s="5" t="str">
        <f aca="false">Drivers!$B$97</f>
        <v>Post-neoadjuvant non-pCR NSCLC (INTerpath-009)</v>
      </c>
      <c r="C26" s="31" t="n">
        <f aca="false">Drivers!$D$97</f>
        <v>2034</v>
      </c>
      <c r="D26" s="33" t="n">
        <f aca="false">Drivers!$E$97*$C$14</f>
        <v>1.2</v>
      </c>
      <c r="E26" s="11" t="n">
        <f aca="false">MIN(Drivers!$F$97*$C$13,IF($C$13&gt;=10,1,0.95))</f>
        <v>0.28</v>
      </c>
    </row>
    <row r="27" customFormat="false" ht="15" hidden="false" customHeight="false" outlineLevel="0" collapsed="false">
      <c r="A27" s="5" t="str">
        <f aca="false">Drivers!$B$98</f>
        <v>Resected stage I NSCLC (INTerpath-014)</v>
      </c>
      <c r="C27" s="31" t="n">
        <f aca="false">Drivers!$D$98</f>
        <v>2035</v>
      </c>
      <c r="D27" s="33" t="n">
        <f aca="false">Drivers!$E$98*$C$14</f>
        <v>2</v>
      </c>
      <c r="E27" s="11" t="n">
        <f aca="false">MIN(Drivers!$F$98*$C$13,IF($C$13&gt;=10,1,0.95))</f>
        <v>0.245</v>
      </c>
    </row>
    <row r="28" customFormat="false" ht="15" hidden="false" customHeight="false" outlineLevel="0" collapsed="false">
      <c r="A28" s="5" t="str">
        <f aca="false">Drivers!$B$99</f>
        <v>Adjuvant RCC (INTerpath-004)</v>
      </c>
      <c r="C28" s="31" t="n">
        <f aca="false">Drivers!$D$99</f>
        <v>2031</v>
      </c>
      <c r="D28" s="33" t="n">
        <f aca="false">Drivers!$E$99*$C$14</f>
        <v>0.96</v>
      </c>
      <c r="E28" s="11" t="n">
        <f aca="false">MIN(Drivers!$F$99*$C$13,IF($C$13&gt;=10,1,0.95))</f>
        <v>0.175</v>
      </c>
    </row>
    <row r="29" customFormat="false" ht="15" hidden="false" customHeight="false" outlineLevel="0" collapsed="false">
      <c r="A29" s="5" t="str">
        <f aca="false">Drivers!$B$100</f>
        <v>MIBC adjuvant (INTerpath-005)</v>
      </c>
      <c r="C29" s="31" t="n">
        <f aca="false">Drivers!$D$100</f>
        <v>2033</v>
      </c>
      <c r="D29" s="33" t="n">
        <f aca="false">Drivers!$E$100*$C$14</f>
        <v>0.8</v>
      </c>
      <c r="E29" s="11" t="n">
        <f aca="false">MIN(Drivers!$F$100*$C$13,IF($C$13&gt;=10,1,0.95))</f>
        <v>0.14</v>
      </c>
    </row>
    <row r="30" customFormat="false" ht="15" hidden="false" customHeight="false" outlineLevel="0" collapsed="false">
      <c r="A30" s="5" t="str">
        <f aca="false">Drivers!$B$101</f>
        <v>NMIBC + BCG (INTerpath-011)</v>
      </c>
      <c r="C30" s="31" t="n">
        <f aca="false">Drivers!$D$101</f>
        <v>2034</v>
      </c>
      <c r="D30" s="33" t="n">
        <f aca="false">Drivers!$E$101*$C$14</f>
        <v>0.8</v>
      </c>
      <c r="E30" s="11" t="n">
        <f aca="false">MIN(Drivers!$F$101*$C$13,IF($C$13&gt;=10,1,0.95))</f>
        <v>0.105</v>
      </c>
    </row>
    <row r="31" customFormat="false" ht="15" hidden="false" customHeight="false" outlineLevel="0" collapsed="false">
      <c r="A31" s="5" t="str">
        <f aca="false">Drivers!$B$102</f>
        <v>1L advanced melanoma (INTerpath-012)</v>
      </c>
      <c r="C31" s="31" t="n">
        <f aca="false">Drivers!$D$102</f>
        <v>2031</v>
      </c>
      <c r="D31" s="33" t="n">
        <f aca="false">Drivers!$E$102*$C$14</f>
        <v>0.64</v>
      </c>
      <c r="E31" s="11" t="n">
        <f aca="false">MIN(Drivers!$F$102*$C$13,IF($C$13&gt;=10,1,0.95))</f>
        <v>0.14</v>
      </c>
    </row>
    <row r="32" customFormat="false" ht="15" hidden="false" customHeight="false" outlineLevel="0" collapsed="false">
      <c r="A32" s="5" t="str">
        <f aca="false">Drivers!$B$103</f>
        <v>1L metastatic squamous NSCLC (INTerpath-013)</v>
      </c>
      <c r="C32" s="31" t="n">
        <f aca="false">Drivers!$D$103</f>
        <v>2032</v>
      </c>
      <c r="D32" s="33" t="n">
        <f aca="false">Drivers!$E$103*$C$14</f>
        <v>0.96</v>
      </c>
      <c r="E32" s="11" t="n">
        <f aca="false">MIN(Drivers!$F$103*$C$13,IF($C$13&gt;=10,1,0.95))</f>
        <v>0.105</v>
      </c>
    </row>
    <row r="33" customFormat="false" ht="15" hidden="false" customHeight="false" outlineLevel="0" collapsed="false">
      <c r="A33" s="5" t="str">
        <f aca="false">Drivers!$B$104</f>
        <v>Other solid tumours - future INT indications (pre-Ph2)</v>
      </c>
      <c r="C33" s="31" t="n">
        <f aca="false">Drivers!$D$104</f>
        <v>2035</v>
      </c>
      <c r="D33" s="33" t="n">
        <f aca="false">Drivers!$E$104*$C$14</f>
        <v>4.8</v>
      </c>
      <c r="E33" s="11" t="n">
        <f aca="false">MIN(Drivers!$F$104*$C$13,IF($C$13&gt;=10,1,0.95))</f>
        <v>0.07</v>
      </c>
    </row>
    <row r="35" customFormat="false" ht="15" hidden="false" customHeight="false" outlineLevel="0" collapsed="false">
      <c r="A35" s="3" t="s">
        <v>321</v>
      </c>
      <c r="B35" s="3" t="s">
        <v>322</v>
      </c>
      <c r="C35" s="34" t="n">
        <v>2027</v>
      </c>
      <c r="D35" s="34" t="n">
        <v>2028</v>
      </c>
      <c r="E35" s="34" t="n">
        <v>2029</v>
      </c>
      <c r="F35" s="34" t="n">
        <v>2030</v>
      </c>
      <c r="G35" s="34" t="n">
        <v>2031</v>
      </c>
      <c r="H35" s="34" t="n">
        <v>2032</v>
      </c>
      <c r="I35" s="34" t="n">
        <v>2033</v>
      </c>
      <c r="J35" s="34" t="n">
        <v>2034</v>
      </c>
      <c r="K35" s="34" t="n">
        <v>2035</v>
      </c>
      <c r="L35" s="34" t="n">
        <v>2036</v>
      </c>
      <c r="M35" s="34" t="n">
        <v>2037</v>
      </c>
      <c r="N35" s="34" t="n">
        <v>2038</v>
      </c>
      <c r="O35" s="34" t="n">
        <v>2039</v>
      </c>
      <c r="P35" s="34" t="n">
        <v>2040</v>
      </c>
      <c r="Q35" s="34" t="n">
        <v>2041</v>
      </c>
      <c r="R35" s="34" t="n">
        <v>2042</v>
      </c>
      <c r="S35" s="34" t="n">
        <v>2043</v>
      </c>
      <c r="T35" s="34" t="n">
        <v>2044</v>
      </c>
      <c r="U35" s="34" t="n">
        <v>2045</v>
      </c>
    </row>
    <row r="36" customFormat="false" ht="15" hidden="false" customHeight="false" outlineLevel="0" collapsed="false">
      <c r="A36" s="9" t="s">
        <v>323</v>
      </c>
      <c r="C36" s="32" t="n">
        <v>0</v>
      </c>
      <c r="D36" s="32" t="n">
        <v>1</v>
      </c>
      <c r="E36" s="32" t="n">
        <v>2</v>
      </c>
      <c r="F36" s="32" t="n">
        <v>3</v>
      </c>
      <c r="G36" s="32" t="n">
        <v>4</v>
      </c>
      <c r="H36" s="32" t="n">
        <v>5</v>
      </c>
      <c r="I36" s="32" t="n">
        <v>6</v>
      </c>
      <c r="J36" s="32" t="n">
        <v>7</v>
      </c>
      <c r="K36" s="32" t="n">
        <v>8</v>
      </c>
      <c r="L36" s="32" t="n">
        <v>9</v>
      </c>
      <c r="M36" s="32" t="n">
        <v>10</v>
      </c>
      <c r="N36" s="32" t="n">
        <v>11</v>
      </c>
      <c r="O36" s="32" t="n">
        <v>12</v>
      </c>
      <c r="P36" s="32" t="n">
        <v>13</v>
      </c>
      <c r="Q36" s="32" t="n">
        <v>14</v>
      </c>
      <c r="R36" s="32" t="n">
        <v>15</v>
      </c>
      <c r="S36" s="32" t="n">
        <v>16</v>
      </c>
      <c r="T36" s="32" t="n">
        <v>17</v>
      </c>
      <c r="U36" s="32" t="n">
        <v>18</v>
      </c>
    </row>
    <row r="37" customFormat="false" ht="15" hidden="false" customHeight="false" outlineLevel="0" collapsed="false">
      <c r="A37" s="3" t="s">
        <v>324</v>
      </c>
    </row>
    <row r="38" customFormat="false" ht="15" hidden="false" customHeight="false" outlineLevel="0" collapsed="false">
      <c r="A38" s="9" t="s">
        <v>325</v>
      </c>
      <c r="B38" s="35" t="s">
        <v>326</v>
      </c>
      <c r="C38" s="24" t="n">
        <f aca="false">Drivers!$D$60*$C$5</f>
        <v>1.5725</v>
      </c>
      <c r="D38" s="24" t="n">
        <f aca="false">Drivers!$E$60*$C$5</f>
        <v>1.445</v>
      </c>
      <c r="E38" s="24" t="n">
        <f aca="false">Drivers!$F$60*$C$5</f>
        <v>1.3175</v>
      </c>
      <c r="F38" s="24" t="n">
        <f aca="false">Drivers!$G$60*$C$5</f>
        <v>1.2325</v>
      </c>
      <c r="G38" s="24" t="n">
        <f aca="false">Drivers!$H$60*$C$5</f>
        <v>1.173</v>
      </c>
      <c r="H38" s="24" t="n">
        <f aca="false">Drivers!$I$60*$C$5</f>
        <v>1.105</v>
      </c>
      <c r="I38" s="24" t="n">
        <f aca="false">H38*(1+Drivers!$C$61)</f>
        <v>1.0829</v>
      </c>
      <c r="J38" s="24" t="n">
        <f aca="false">I38*(1+Drivers!$C$61)</f>
        <v>1.061242</v>
      </c>
      <c r="K38" s="24" t="n">
        <f aca="false">J38*(1+Drivers!$C$61)</f>
        <v>1.04001716</v>
      </c>
      <c r="L38" s="24" t="n">
        <f aca="false">K38*(1+Drivers!$C$61)</f>
        <v>1.0192168168</v>
      </c>
      <c r="M38" s="24" t="n">
        <f aca="false">L38*(1+Drivers!$C$61)</f>
        <v>0.998832480464</v>
      </c>
      <c r="N38" s="24" t="n">
        <f aca="false">M38*(1+Drivers!$C$61)</f>
        <v>0.97885583085472</v>
      </c>
      <c r="O38" s="24" t="n">
        <f aca="false">N38*(1+Drivers!$C$61)</f>
        <v>0.959278714237626</v>
      </c>
      <c r="P38" s="24" t="n">
        <f aca="false">O38*(1+Drivers!$C$61)</f>
        <v>0.940093139952873</v>
      </c>
      <c r="Q38" s="24" t="n">
        <f aca="false">P38*(1+Drivers!$C$61)</f>
        <v>0.921291277153816</v>
      </c>
      <c r="R38" s="24" t="n">
        <f aca="false">Q38*(1+Drivers!$C$61)</f>
        <v>0.902865451610739</v>
      </c>
      <c r="S38" s="24" t="n">
        <f aca="false">R38*(1+Drivers!$C$61)</f>
        <v>0.884808142578524</v>
      </c>
      <c r="T38" s="24" t="n">
        <f aca="false">S38*(1+Drivers!$C$61)</f>
        <v>0.867111979726954</v>
      </c>
      <c r="U38" s="24" t="n">
        <f aca="false">T38*(1+Drivers!$C$61)</f>
        <v>0.849769740132415</v>
      </c>
    </row>
    <row r="39" customFormat="false" ht="15" hidden="false" customHeight="false" outlineLevel="0" collapsed="false">
      <c r="A39" s="9" t="s">
        <v>327</v>
      </c>
      <c r="B39" s="35" t="s">
        <v>326</v>
      </c>
      <c r="C39" s="24" t="n">
        <f aca="false">Drivers!$C$62*IF((C$35-Drivers!$C$63)&lt;0,0,MIN(((C$35-Drivers!$C$63)+1)/Drivers!$C$64,1))*$C$6</f>
        <v>0.096</v>
      </c>
      <c r="D39" s="24" t="n">
        <f aca="false">Drivers!$C$62*IF((D$35-Drivers!$C$63)&lt;0,0,MIN(((D$35-Drivers!$C$63)+1)/Drivers!$C$64,1))*$C$6</f>
        <v>0.192</v>
      </c>
      <c r="E39" s="24" t="n">
        <f aca="false">Drivers!$C$62*IF((E$35-Drivers!$C$63)&lt;0,0,MIN(((E$35-Drivers!$C$63)+1)/Drivers!$C$64,1))*$C$6</f>
        <v>0.288</v>
      </c>
      <c r="F39" s="24" t="n">
        <f aca="false">Drivers!$C$62*IF((F$35-Drivers!$C$63)&lt;0,0,MIN(((F$35-Drivers!$C$63)+1)/Drivers!$C$64,1))*$C$6</f>
        <v>0.384</v>
      </c>
      <c r="G39" s="24" t="n">
        <f aca="false">Drivers!$C$62*IF((G$35-Drivers!$C$63)&lt;0,0,MIN(((G$35-Drivers!$C$63)+1)/Drivers!$C$64,1))*$C$6</f>
        <v>0.48</v>
      </c>
      <c r="H39" s="24" t="n">
        <f aca="false">Drivers!$C$62*IF((H$35-Drivers!$C$63)&lt;0,0,MIN(((H$35-Drivers!$C$63)+1)/Drivers!$C$64,1))*$C$6</f>
        <v>0.48</v>
      </c>
      <c r="I39" s="24" t="n">
        <f aca="false">Drivers!$C$62*IF((I$35-Drivers!$C$63)&lt;0,0,MIN(((I$35-Drivers!$C$63)+1)/Drivers!$C$64,1))*$C$6</f>
        <v>0.48</v>
      </c>
      <c r="J39" s="24" t="n">
        <f aca="false">Drivers!$C$62*IF((J$35-Drivers!$C$63)&lt;0,0,MIN(((J$35-Drivers!$C$63)+1)/Drivers!$C$64,1))*$C$6</f>
        <v>0.48</v>
      </c>
      <c r="K39" s="24" t="n">
        <f aca="false">Drivers!$C$62*IF((K$35-Drivers!$C$63)&lt;0,0,MIN(((K$35-Drivers!$C$63)+1)/Drivers!$C$64,1))*$C$6</f>
        <v>0.48</v>
      </c>
      <c r="L39" s="24" t="n">
        <f aca="false">Drivers!$C$62*IF((L$35-Drivers!$C$63)&lt;0,0,MIN(((L$35-Drivers!$C$63)+1)/Drivers!$C$64,1))*$C$6</f>
        <v>0.48</v>
      </c>
      <c r="M39" s="24" t="n">
        <f aca="false">Drivers!$C$62*IF((M$35-Drivers!$C$63)&lt;0,0,MIN(((M$35-Drivers!$C$63)+1)/Drivers!$C$64,1))*$C$6</f>
        <v>0.48</v>
      </c>
      <c r="N39" s="24" t="n">
        <f aca="false">Drivers!$C$62*IF((N$35-Drivers!$C$63)&lt;0,0,MIN(((N$35-Drivers!$C$63)+1)/Drivers!$C$64,1))*$C$6</f>
        <v>0.48</v>
      </c>
      <c r="O39" s="24" t="n">
        <f aca="false">Drivers!$C$62*IF((O$35-Drivers!$C$63)&lt;0,0,MIN(((O$35-Drivers!$C$63)+1)/Drivers!$C$64,1))*$C$6</f>
        <v>0.48</v>
      </c>
      <c r="P39" s="24" t="n">
        <f aca="false">Drivers!$C$62*IF((P$35-Drivers!$C$63)&lt;0,0,MIN(((P$35-Drivers!$C$63)+1)/Drivers!$C$64,1))*$C$6</f>
        <v>0.48</v>
      </c>
      <c r="Q39" s="24" t="n">
        <f aca="false">Drivers!$C$62*IF((Q$35-Drivers!$C$63)&lt;0,0,MIN(((Q$35-Drivers!$C$63)+1)/Drivers!$C$64,1))*$C$6</f>
        <v>0.48</v>
      </c>
      <c r="R39" s="24" t="n">
        <f aca="false">Drivers!$C$62*IF((R$35-Drivers!$C$63)&lt;0,0,MIN(((R$35-Drivers!$C$63)+1)/Drivers!$C$64,1))*$C$6</f>
        <v>0.48</v>
      </c>
      <c r="S39" s="24" t="n">
        <f aca="false">Drivers!$C$62*IF((S$35-Drivers!$C$63)&lt;0,0,MIN(((S$35-Drivers!$C$63)+1)/Drivers!$C$64,1))*$C$6</f>
        <v>0.48</v>
      </c>
      <c r="T39" s="24" t="n">
        <f aca="false">Drivers!$C$62*IF((T$35-Drivers!$C$63)&lt;0,0,MIN(((T$35-Drivers!$C$63)+1)/Drivers!$C$64,1))*$C$6</f>
        <v>0.48</v>
      </c>
      <c r="U39" s="24" t="n">
        <f aca="false">Drivers!$C$62*IF((U$35-Drivers!$C$63)&lt;0,0,MIN(((U$35-Drivers!$C$63)+1)/Drivers!$C$64,1))*$C$6</f>
        <v>0.48</v>
      </c>
    </row>
    <row r="40" customFormat="false" ht="15" hidden="false" customHeight="false" outlineLevel="0" collapsed="false">
      <c r="A40" s="9" t="s">
        <v>328</v>
      </c>
      <c r="B40" s="35" t="s">
        <v>326</v>
      </c>
      <c r="C40" s="24" t="n">
        <f aca="false">Drivers!$C$65*IF((C$35-Drivers!$C$66)&lt;0,0,MIN(((C$35-Drivers!$C$66)+1)/Drivers!$C$67,1))*$C$7*((1-Drivers!$C$69)+Drivers!$C$69*Drivers!$C$68)</f>
        <v>0.14028</v>
      </c>
      <c r="D40" s="24" t="n">
        <f aca="false">Drivers!$C$65*IF((D$35-Drivers!$C$66)&lt;0,0,MIN(((D$35-Drivers!$C$66)+1)/Drivers!$C$67,1))*$C$7*((1-Drivers!$C$69)+Drivers!$C$69*Drivers!$C$68)</f>
        <v>0.28056</v>
      </c>
      <c r="E40" s="24" t="n">
        <f aca="false">Drivers!$C$65*IF((E$35-Drivers!$C$66)&lt;0,0,MIN(((E$35-Drivers!$C$66)+1)/Drivers!$C$67,1))*$C$7*((1-Drivers!$C$69)+Drivers!$C$69*Drivers!$C$68)</f>
        <v>0.42084</v>
      </c>
      <c r="F40" s="24" t="n">
        <f aca="false">Drivers!$C$65*IF((F$35-Drivers!$C$66)&lt;0,0,MIN(((F$35-Drivers!$C$66)+1)/Drivers!$C$67,1))*$C$7*((1-Drivers!$C$69)+Drivers!$C$69*Drivers!$C$68)</f>
        <v>0.56112</v>
      </c>
      <c r="G40" s="24" t="n">
        <f aca="false">Drivers!$C$65*IF((G$35-Drivers!$C$66)&lt;0,0,MIN(((G$35-Drivers!$C$66)+1)/Drivers!$C$67,1))*$C$7*((1-Drivers!$C$69)+Drivers!$C$69*Drivers!$C$68)</f>
        <v>0.7014</v>
      </c>
      <c r="H40" s="24" t="n">
        <f aca="false">Drivers!$C$65*IF((H$35-Drivers!$C$66)&lt;0,0,MIN(((H$35-Drivers!$C$66)+1)/Drivers!$C$67,1))*$C$7*((1-Drivers!$C$69)+Drivers!$C$69*Drivers!$C$68)</f>
        <v>0.7014</v>
      </c>
      <c r="I40" s="24" t="n">
        <f aca="false">Drivers!$C$65*IF((I$35-Drivers!$C$66)&lt;0,0,MIN(((I$35-Drivers!$C$66)+1)/Drivers!$C$67,1))*$C$7*((1-Drivers!$C$69)+Drivers!$C$69*Drivers!$C$68)</f>
        <v>0.7014</v>
      </c>
      <c r="J40" s="24" t="n">
        <f aca="false">Drivers!$C$65*IF((J$35-Drivers!$C$66)&lt;0,0,MIN(((J$35-Drivers!$C$66)+1)/Drivers!$C$67,1))*$C$7*((1-Drivers!$C$69)+Drivers!$C$69*Drivers!$C$68)</f>
        <v>0.7014</v>
      </c>
      <c r="K40" s="24" t="n">
        <f aca="false">Drivers!$C$65*IF((K$35-Drivers!$C$66)&lt;0,0,MIN(((K$35-Drivers!$C$66)+1)/Drivers!$C$67,1))*$C$7*((1-Drivers!$C$69)+Drivers!$C$69*Drivers!$C$68)</f>
        <v>0.7014</v>
      </c>
      <c r="L40" s="24" t="n">
        <f aca="false">Drivers!$C$65*IF((L$35-Drivers!$C$66)&lt;0,0,MIN(((L$35-Drivers!$C$66)+1)/Drivers!$C$67,1))*$C$7*((1-Drivers!$C$69)+Drivers!$C$69*Drivers!$C$68)</f>
        <v>0.7014</v>
      </c>
      <c r="M40" s="24" t="n">
        <f aca="false">Drivers!$C$65*IF((M$35-Drivers!$C$66)&lt;0,0,MIN(((M$35-Drivers!$C$66)+1)/Drivers!$C$67,1))*$C$7*((1-Drivers!$C$69)+Drivers!$C$69*Drivers!$C$68)</f>
        <v>0.7014</v>
      </c>
      <c r="N40" s="24" t="n">
        <f aca="false">Drivers!$C$65*IF((N$35-Drivers!$C$66)&lt;0,0,MIN(((N$35-Drivers!$C$66)+1)/Drivers!$C$67,1))*$C$7*((1-Drivers!$C$69)+Drivers!$C$69*Drivers!$C$68)</f>
        <v>0.7014</v>
      </c>
      <c r="O40" s="24" t="n">
        <f aca="false">Drivers!$C$65*IF((O$35-Drivers!$C$66)&lt;0,0,MIN(((O$35-Drivers!$C$66)+1)/Drivers!$C$67,1))*$C$7*((1-Drivers!$C$69)+Drivers!$C$69*Drivers!$C$68)</f>
        <v>0.7014</v>
      </c>
      <c r="P40" s="24" t="n">
        <f aca="false">Drivers!$C$65*IF((P$35-Drivers!$C$66)&lt;0,0,MIN(((P$35-Drivers!$C$66)+1)/Drivers!$C$67,1))*$C$7*((1-Drivers!$C$69)+Drivers!$C$69*Drivers!$C$68)</f>
        <v>0.7014</v>
      </c>
      <c r="Q40" s="24" t="n">
        <f aca="false">Drivers!$C$65*IF((Q$35-Drivers!$C$66)&lt;0,0,MIN(((Q$35-Drivers!$C$66)+1)/Drivers!$C$67,1))*$C$7*((1-Drivers!$C$69)+Drivers!$C$69*Drivers!$C$68)</f>
        <v>0.7014</v>
      </c>
      <c r="R40" s="24" t="n">
        <f aca="false">Drivers!$C$65*IF((R$35-Drivers!$C$66)&lt;0,0,MIN(((R$35-Drivers!$C$66)+1)/Drivers!$C$67,1))*$C$7*((1-Drivers!$C$69)+Drivers!$C$69*Drivers!$C$68)</f>
        <v>0.7014</v>
      </c>
      <c r="S40" s="24" t="n">
        <f aca="false">Drivers!$C$65*IF((S$35-Drivers!$C$66)&lt;0,0,MIN(((S$35-Drivers!$C$66)+1)/Drivers!$C$67,1))*$C$7*((1-Drivers!$C$69)+Drivers!$C$69*Drivers!$C$68)</f>
        <v>0.7014</v>
      </c>
      <c r="T40" s="24" t="n">
        <f aca="false">Drivers!$C$65*IF((T$35-Drivers!$C$66)&lt;0,0,MIN(((T$35-Drivers!$C$66)+1)/Drivers!$C$67,1))*$C$7*((1-Drivers!$C$69)+Drivers!$C$69*Drivers!$C$68)</f>
        <v>0.7014</v>
      </c>
      <c r="U40" s="24" t="n">
        <f aca="false">Drivers!$C$65*IF((U$35-Drivers!$C$66)&lt;0,0,MIN(((U$35-Drivers!$C$66)+1)/Drivers!$C$67,1))*$C$7*((1-Drivers!$C$69)+Drivers!$C$69*Drivers!$C$68)</f>
        <v>0.7014</v>
      </c>
    </row>
    <row r="41" customFormat="false" ht="15" hidden="false" customHeight="false" outlineLevel="0" collapsed="false">
      <c r="A41" s="9" t="s">
        <v>329</v>
      </c>
      <c r="B41" s="35" t="s">
        <v>326</v>
      </c>
      <c r="C41" s="24" t="n">
        <f aca="false">Drivers!$C$70*MIN((C$35-2026)/3,1)</f>
        <v>0.05</v>
      </c>
      <c r="D41" s="24" t="n">
        <f aca="false">Drivers!$C$70*MIN((D$35-2026)/3,1)</f>
        <v>0.1</v>
      </c>
      <c r="E41" s="24" t="n">
        <f aca="false">Drivers!$C$70*MIN((E$35-2026)/3,1)</f>
        <v>0.15</v>
      </c>
      <c r="F41" s="24" t="n">
        <f aca="false">Drivers!$C$70*MIN((F$35-2026)/3,1)</f>
        <v>0.15</v>
      </c>
      <c r="G41" s="24" t="n">
        <f aca="false">Drivers!$C$70*MIN((G$35-2026)/3,1)</f>
        <v>0.15</v>
      </c>
      <c r="H41" s="24" t="n">
        <f aca="false">Drivers!$C$70*MIN((H$35-2026)/3,1)</f>
        <v>0.15</v>
      </c>
      <c r="I41" s="24" t="n">
        <f aca="false">Drivers!$C$70*MIN((I$35-2026)/3,1)</f>
        <v>0.15</v>
      </c>
      <c r="J41" s="24" t="n">
        <f aca="false">Drivers!$C$70*MIN((J$35-2026)/3,1)</f>
        <v>0.15</v>
      </c>
      <c r="K41" s="24" t="n">
        <f aca="false">Drivers!$C$70*MIN((K$35-2026)/3,1)</f>
        <v>0.15</v>
      </c>
      <c r="L41" s="24" t="n">
        <f aca="false">Drivers!$C$70*MIN((L$35-2026)/3,1)</f>
        <v>0.15</v>
      </c>
      <c r="M41" s="24" t="n">
        <f aca="false">Drivers!$C$70*MIN((M$35-2026)/3,1)</f>
        <v>0.15</v>
      </c>
      <c r="N41" s="24" t="n">
        <f aca="false">Drivers!$C$70*MIN((N$35-2026)/3,1)</f>
        <v>0.15</v>
      </c>
      <c r="O41" s="24" t="n">
        <f aca="false">Drivers!$C$70*MIN((O$35-2026)/3,1)</f>
        <v>0.15</v>
      </c>
      <c r="P41" s="24" t="n">
        <f aca="false">Drivers!$C$70*MIN((P$35-2026)/3,1)</f>
        <v>0.15</v>
      </c>
      <c r="Q41" s="24" t="n">
        <f aca="false">Drivers!$C$70*MIN((Q$35-2026)/3,1)</f>
        <v>0.15</v>
      </c>
      <c r="R41" s="24" t="n">
        <f aca="false">Drivers!$C$70*MIN((R$35-2026)/3,1)</f>
        <v>0.15</v>
      </c>
      <c r="S41" s="24" t="n">
        <f aca="false">Drivers!$C$70*MIN((S$35-2026)/3,1)</f>
        <v>0.15</v>
      </c>
      <c r="T41" s="24" t="n">
        <f aca="false">Drivers!$C$70*MIN((T$35-2026)/3,1)</f>
        <v>0.15</v>
      </c>
      <c r="U41" s="24" t="n">
        <f aca="false">Drivers!$C$70*MIN((U$35-2026)/3,1)</f>
        <v>0.15</v>
      </c>
    </row>
    <row r="42" customFormat="false" ht="15" hidden="false" customHeight="false" outlineLevel="0" collapsed="false">
      <c r="A42" s="9" t="s">
        <v>330</v>
      </c>
      <c r="B42" s="35" t="s">
        <v>326</v>
      </c>
      <c r="C42" s="24" t="n">
        <f aca="false">$C$8*Drivers!$C$71*IF((C$35-Drivers!$C$72)&lt;0,0,MIN(((C$35-Drivers!$C$72)+1)/Drivers!$C$73,1))</f>
        <v>0</v>
      </c>
      <c r="D42" s="24" t="n">
        <f aca="false">$C$8*Drivers!$C$71*IF((D$35-Drivers!$C$72)&lt;0,0,MIN(((D$35-Drivers!$C$72)+1)/Drivers!$C$73,1))</f>
        <v>0</v>
      </c>
      <c r="E42" s="24" t="n">
        <f aca="false">$C$8*Drivers!$C$71*IF((E$35-Drivers!$C$72)&lt;0,0,MIN(((E$35-Drivers!$C$72)+1)/Drivers!$C$73,1))</f>
        <v>0.048</v>
      </c>
      <c r="F42" s="24" t="n">
        <f aca="false">$C$8*Drivers!$C$71*IF((F$35-Drivers!$C$72)&lt;0,0,MIN(((F$35-Drivers!$C$72)+1)/Drivers!$C$73,1))</f>
        <v>0.096</v>
      </c>
      <c r="G42" s="24" t="n">
        <f aca="false">$C$8*Drivers!$C$71*IF((G$35-Drivers!$C$72)&lt;0,0,MIN(((G$35-Drivers!$C$72)+1)/Drivers!$C$73,1))</f>
        <v>0.144</v>
      </c>
      <c r="H42" s="24" t="n">
        <f aca="false">$C$8*Drivers!$C$71*IF((H$35-Drivers!$C$72)&lt;0,0,MIN(((H$35-Drivers!$C$72)+1)/Drivers!$C$73,1))</f>
        <v>0.192</v>
      </c>
      <c r="I42" s="24" t="n">
        <f aca="false">$C$8*Drivers!$C$71*IF((I$35-Drivers!$C$72)&lt;0,0,MIN(((I$35-Drivers!$C$72)+1)/Drivers!$C$73,1))</f>
        <v>0.24</v>
      </c>
      <c r="J42" s="24" t="n">
        <f aca="false">$C$8*Drivers!$C$71*IF((J$35-Drivers!$C$72)&lt;0,0,MIN(((J$35-Drivers!$C$72)+1)/Drivers!$C$73,1))</f>
        <v>0.24</v>
      </c>
      <c r="K42" s="24" t="n">
        <f aca="false">$C$8*Drivers!$C$71*IF((K$35-Drivers!$C$72)&lt;0,0,MIN(((K$35-Drivers!$C$72)+1)/Drivers!$C$73,1))</f>
        <v>0.24</v>
      </c>
      <c r="L42" s="24" t="n">
        <f aca="false">$C$8*Drivers!$C$71*IF((L$35-Drivers!$C$72)&lt;0,0,MIN(((L$35-Drivers!$C$72)+1)/Drivers!$C$73,1))</f>
        <v>0.24</v>
      </c>
      <c r="M42" s="24" t="n">
        <f aca="false">$C$8*Drivers!$C$71*IF((M$35-Drivers!$C$72)&lt;0,0,MIN(((M$35-Drivers!$C$72)+1)/Drivers!$C$73,1))</f>
        <v>0.24</v>
      </c>
      <c r="N42" s="24" t="n">
        <f aca="false">$C$8*Drivers!$C$71*IF((N$35-Drivers!$C$72)&lt;0,0,MIN(((N$35-Drivers!$C$72)+1)/Drivers!$C$73,1))</f>
        <v>0.24</v>
      </c>
      <c r="O42" s="24" t="n">
        <f aca="false">$C$8*Drivers!$C$71*IF((O$35-Drivers!$C$72)&lt;0,0,MIN(((O$35-Drivers!$C$72)+1)/Drivers!$C$73,1))</f>
        <v>0.24</v>
      </c>
      <c r="P42" s="24" t="n">
        <f aca="false">$C$8*Drivers!$C$71*IF((P$35-Drivers!$C$72)&lt;0,0,MIN(((P$35-Drivers!$C$72)+1)/Drivers!$C$73,1))</f>
        <v>0.24</v>
      </c>
      <c r="Q42" s="24" t="n">
        <f aca="false">$C$8*Drivers!$C$71*IF((Q$35-Drivers!$C$72)&lt;0,0,MIN(((Q$35-Drivers!$C$72)+1)/Drivers!$C$73,1))</f>
        <v>0.24</v>
      </c>
      <c r="R42" s="24" t="n">
        <f aca="false">$C$8*Drivers!$C$71*IF((R$35-Drivers!$C$72)&lt;0,0,MIN(((R$35-Drivers!$C$72)+1)/Drivers!$C$73,1))</f>
        <v>0.24</v>
      </c>
      <c r="S42" s="24" t="n">
        <f aca="false">$C$8*Drivers!$C$71*IF((S$35-Drivers!$C$72)&lt;0,0,MIN(((S$35-Drivers!$C$72)+1)/Drivers!$C$73,1))</f>
        <v>0.24</v>
      </c>
      <c r="T42" s="24" t="n">
        <f aca="false">$C$8*Drivers!$C$71*IF((T$35-Drivers!$C$72)&lt;0,0,MIN(((T$35-Drivers!$C$72)+1)/Drivers!$C$73,1))</f>
        <v>0.24</v>
      </c>
      <c r="U42" s="24" t="n">
        <f aca="false">$C$8*Drivers!$C$71*IF((U$35-Drivers!$C$72)&lt;0,0,MIN(((U$35-Drivers!$C$72)+1)/Drivers!$C$73,1))</f>
        <v>0.24</v>
      </c>
    </row>
    <row r="43" customFormat="false" ht="15" hidden="false" customHeight="false" outlineLevel="0" collapsed="false">
      <c r="A43" s="9" t="s">
        <v>331</v>
      </c>
      <c r="B43" s="35" t="s">
        <v>326</v>
      </c>
      <c r="C43" s="24" t="n">
        <f aca="false">Drivers!$C$74</f>
        <v>0.15</v>
      </c>
      <c r="D43" s="24" t="n">
        <f aca="false">Drivers!$C$74</f>
        <v>0.15</v>
      </c>
      <c r="E43" s="24" t="n">
        <f aca="false">Drivers!$C$74</f>
        <v>0.15</v>
      </c>
      <c r="F43" s="24" t="n">
        <f aca="false">Drivers!$C$74</f>
        <v>0.15</v>
      </c>
      <c r="G43" s="24" t="n">
        <f aca="false">Drivers!$C$74</f>
        <v>0.15</v>
      </c>
      <c r="H43" s="24" t="n">
        <f aca="false">Drivers!$C$74</f>
        <v>0.15</v>
      </c>
      <c r="I43" s="24" t="n">
        <f aca="false">Drivers!$C$74</f>
        <v>0.15</v>
      </c>
      <c r="J43" s="24" t="n">
        <f aca="false">Drivers!$C$74</f>
        <v>0.15</v>
      </c>
      <c r="K43" s="24" t="n">
        <f aca="false">Drivers!$C$74</f>
        <v>0.15</v>
      </c>
      <c r="L43" s="24" t="n">
        <f aca="false">Drivers!$C$74</f>
        <v>0.15</v>
      </c>
      <c r="M43" s="24" t="n">
        <f aca="false">Drivers!$C$74</f>
        <v>0.15</v>
      </c>
      <c r="N43" s="24" t="n">
        <f aca="false">Drivers!$C$74</f>
        <v>0.15</v>
      </c>
      <c r="O43" s="24" t="n">
        <f aca="false">Drivers!$C$74</f>
        <v>0.15</v>
      </c>
      <c r="P43" s="24" t="n">
        <f aca="false">Drivers!$C$74</f>
        <v>0.15</v>
      </c>
      <c r="Q43" s="24" t="n">
        <f aca="false">Drivers!$C$74</f>
        <v>0.15</v>
      </c>
      <c r="R43" s="24" t="n">
        <f aca="false">Drivers!$C$74</f>
        <v>0.15</v>
      </c>
      <c r="S43" s="24" t="n">
        <f aca="false">Drivers!$C$74</f>
        <v>0.15</v>
      </c>
      <c r="T43" s="24" t="n">
        <f aca="false">Drivers!$C$74</f>
        <v>0.15</v>
      </c>
      <c r="U43" s="24" t="n">
        <f aca="false">Drivers!$C$74</f>
        <v>0.15</v>
      </c>
    </row>
    <row r="44" customFormat="false" ht="15" hidden="false" customHeight="false" outlineLevel="0" collapsed="false">
      <c r="A44" s="3" t="s">
        <v>332</v>
      </c>
      <c r="B44" s="35" t="s">
        <v>326</v>
      </c>
      <c r="C44" s="29" t="n">
        <f aca="false">SUM(C38:C43)</f>
        <v>2.00878</v>
      </c>
      <c r="D44" s="29" t="n">
        <f aca="false">SUM(D38:D43)</f>
        <v>2.16756</v>
      </c>
      <c r="E44" s="29" t="n">
        <f aca="false">SUM(E38:E43)</f>
        <v>2.37434</v>
      </c>
      <c r="F44" s="29" t="n">
        <f aca="false">SUM(F38:F43)</f>
        <v>2.57362</v>
      </c>
      <c r="G44" s="29" t="n">
        <f aca="false">SUM(G38:G43)</f>
        <v>2.7984</v>
      </c>
      <c r="H44" s="29" t="n">
        <f aca="false">SUM(H38:H43)</f>
        <v>2.7784</v>
      </c>
      <c r="I44" s="29" t="n">
        <f aca="false">SUM(I38:I43)</f>
        <v>2.8043</v>
      </c>
      <c r="J44" s="29" t="n">
        <f aca="false">SUM(J38:J43)</f>
        <v>2.782642</v>
      </c>
      <c r="K44" s="29" t="n">
        <f aca="false">SUM(K38:K43)</f>
        <v>2.76141716</v>
      </c>
      <c r="L44" s="29" t="n">
        <f aca="false">SUM(L38:L43)</f>
        <v>2.7406168168</v>
      </c>
      <c r="M44" s="29" t="n">
        <f aca="false">SUM(M38:M43)</f>
        <v>2.720232480464</v>
      </c>
      <c r="N44" s="29" t="n">
        <f aca="false">SUM(N38:N43)</f>
        <v>2.70025583085472</v>
      </c>
      <c r="O44" s="29" t="n">
        <f aca="false">SUM(O38:O43)</f>
        <v>2.68067871423763</v>
      </c>
      <c r="P44" s="29" t="n">
        <f aca="false">SUM(P38:P43)</f>
        <v>2.66149313995287</v>
      </c>
      <c r="Q44" s="29" t="n">
        <f aca="false">SUM(Q38:Q43)</f>
        <v>2.64269127715382</v>
      </c>
      <c r="R44" s="29" t="n">
        <f aca="false">SUM(R38:R43)</f>
        <v>2.62426545161074</v>
      </c>
      <c r="S44" s="29" t="n">
        <f aca="false">SUM(S38:S43)</f>
        <v>2.60620814257852</v>
      </c>
      <c r="T44" s="29" t="n">
        <f aca="false">SUM(T38:T43)</f>
        <v>2.58851197972695</v>
      </c>
      <c r="U44" s="29" t="n">
        <f aca="false">SUM(U38:U43)</f>
        <v>2.57116974013241</v>
      </c>
    </row>
    <row r="45" customFormat="false" ht="15" hidden="false" customHeight="false" outlineLevel="0" collapsed="false">
      <c r="A45" s="9" t="s">
        <v>333</v>
      </c>
      <c r="B45" s="35" t="s">
        <v>334</v>
      </c>
      <c r="C45" s="11" t="n">
        <f aca="false">Drivers!$D$75+$C$9</f>
        <v>0.62</v>
      </c>
      <c r="D45" s="11" t="n">
        <f aca="false">Drivers!$E$75+$C$9</f>
        <v>0.66</v>
      </c>
      <c r="E45" s="11" t="n">
        <f aca="false">Drivers!$F$75+$C$9</f>
        <v>0.69</v>
      </c>
      <c r="F45" s="11" t="n">
        <f aca="false">Drivers!$G$75+$C$9</f>
        <v>0.71</v>
      </c>
      <c r="G45" s="11" t="n">
        <f aca="false">Drivers!$H$75+$C$9</f>
        <v>0.72</v>
      </c>
      <c r="H45" s="11" t="n">
        <f aca="false">Drivers!$I$75+$C$9</f>
        <v>0.73</v>
      </c>
      <c r="I45" s="11" t="n">
        <f aca="false">Drivers!$I$75+$C$9</f>
        <v>0.73</v>
      </c>
      <c r="J45" s="11" t="n">
        <f aca="false">Drivers!$I$75+$C$9</f>
        <v>0.73</v>
      </c>
      <c r="K45" s="11" t="n">
        <f aca="false">Drivers!$I$75+$C$9</f>
        <v>0.73</v>
      </c>
      <c r="L45" s="11" t="n">
        <f aca="false">Drivers!$I$75+$C$9</f>
        <v>0.73</v>
      </c>
      <c r="M45" s="11" t="n">
        <f aca="false">Drivers!$I$75+$C$9</f>
        <v>0.73</v>
      </c>
      <c r="N45" s="11" t="n">
        <f aca="false">Drivers!$I$75+$C$9</f>
        <v>0.73</v>
      </c>
      <c r="O45" s="11" t="n">
        <f aca="false">Drivers!$I$75+$C$9</f>
        <v>0.73</v>
      </c>
      <c r="P45" s="11" t="n">
        <f aca="false">Drivers!$I$75+$C$9</f>
        <v>0.73</v>
      </c>
      <c r="Q45" s="11" t="n">
        <f aca="false">Drivers!$I$75+$C$9</f>
        <v>0.73</v>
      </c>
      <c r="R45" s="11" t="n">
        <f aca="false">Drivers!$I$75+$C$9</f>
        <v>0.73</v>
      </c>
      <c r="S45" s="11" t="n">
        <f aca="false">Drivers!$I$75+$C$9</f>
        <v>0.73</v>
      </c>
      <c r="T45" s="11" t="n">
        <f aca="false">Drivers!$I$75+$C$9</f>
        <v>0.73</v>
      </c>
      <c r="U45" s="11" t="n">
        <f aca="false">Drivers!$I$75+$C$9</f>
        <v>0.73</v>
      </c>
    </row>
    <row r="46" customFormat="false" ht="15" hidden="false" customHeight="false" outlineLevel="0" collapsed="false">
      <c r="A46" s="9" t="s">
        <v>335</v>
      </c>
      <c r="B46" s="35" t="s">
        <v>326</v>
      </c>
      <c r="C46" s="24" t="n">
        <f aca="false">C39+C40</f>
        <v>0.23628</v>
      </c>
      <c r="D46" s="24" t="n">
        <f aca="false">D39+D40</f>
        <v>0.47256</v>
      </c>
      <c r="E46" s="24" t="n">
        <f aca="false">E39+E40</f>
        <v>0.70884</v>
      </c>
      <c r="F46" s="24" t="n">
        <f aca="false">F39+F40</f>
        <v>0.94512</v>
      </c>
      <c r="G46" s="24" t="n">
        <f aca="false">G39+G40</f>
        <v>1.1814</v>
      </c>
      <c r="H46" s="24" t="n">
        <f aca="false">H39+H40</f>
        <v>1.1814</v>
      </c>
      <c r="I46" s="24" t="n">
        <f aca="false">I39+I40</f>
        <v>1.1814</v>
      </c>
      <c r="J46" s="24" t="n">
        <f aca="false">J39+J40</f>
        <v>1.1814</v>
      </c>
      <c r="K46" s="24" t="n">
        <f aca="false">K39+K40</f>
        <v>1.1814</v>
      </c>
      <c r="L46" s="24" t="n">
        <f aca="false">L39+L40</f>
        <v>1.1814</v>
      </c>
      <c r="M46" s="24" t="n">
        <f aca="false">M39+M40</f>
        <v>1.1814</v>
      </c>
      <c r="N46" s="24" t="n">
        <f aca="false">N39+N40</f>
        <v>1.1814</v>
      </c>
      <c r="O46" s="24" t="n">
        <f aca="false">O39+O40</f>
        <v>1.1814</v>
      </c>
      <c r="P46" s="24" t="n">
        <f aca="false">P39+P40</f>
        <v>1.1814</v>
      </c>
      <c r="Q46" s="24" t="n">
        <f aca="false">Q39+Q40</f>
        <v>1.1814</v>
      </c>
      <c r="R46" s="24" t="n">
        <f aca="false">R39+R40</f>
        <v>1.1814</v>
      </c>
      <c r="S46" s="24" t="n">
        <f aca="false">S39+S40</f>
        <v>1.1814</v>
      </c>
      <c r="T46" s="24" t="n">
        <f aca="false">T39+T40</f>
        <v>1.1814</v>
      </c>
      <c r="U46" s="24" t="n">
        <f aca="false">U39+U40</f>
        <v>1.1814</v>
      </c>
    </row>
    <row r="47" customFormat="false" ht="15" hidden="false" customHeight="false" outlineLevel="0" collapsed="false">
      <c r="A47" s="9" t="s">
        <v>336</v>
      </c>
      <c r="B47" s="35" t="s">
        <v>326</v>
      </c>
      <c r="C47" s="24" t="n">
        <f aca="false">MIN(Drivers!$C$77-0,Drivers!$C$78*C46)</f>
        <v>0.0189024</v>
      </c>
      <c r="D47" s="24" t="n">
        <f aca="false">MIN(Drivers!$C$77-C48,Drivers!$C$78*D46)</f>
        <v>0.0378048</v>
      </c>
      <c r="E47" s="24" t="n">
        <f aca="false">MIN(Drivers!$C$77-D48,Drivers!$C$78*E46)</f>
        <v>0.0567072</v>
      </c>
      <c r="F47" s="24" t="n">
        <f aca="false">MIN(Drivers!$C$77-E48,Drivers!$C$78*F46)</f>
        <v>0.0756096</v>
      </c>
      <c r="G47" s="24" t="n">
        <f aca="false">MIN(Drivers!$C$77-F48,Drivers!$C$78*G46)</f>
        <v>0.094512</v>
      </c>
      <c r="H47" s="24" t="n">
        <f aca="false">MIN(Drivers!$C$77-G48,Drivers!$C$78*H46)</f>
        <v>0.094512</v>
      </c>
      <c r="I47" s="24" t="n">
        <f aca="false">MIN(Drivers!$C$77-H48,Drivers!$C$78*I46)</f>
        <v>0.094512</v>
      </c>
      <c r="J47" s="24" t="n">
        <f aca="false">MIN(Drivers!$C$77-I48,Drivers!$C$78*J46)</f>
        <v>0.094512</v>
      </c>
      <c r="K47" s="24" t="n">
        <f aca="false">MIN(Drivers!$C$77-J48,Drivers!$C$78*K46)</f>
        <v>0.094512</v>
      </c>
      <c r="L47" s="24" t="n">
        <f aca="false">MIN(Drivers!$C$77-K48,Drivers!$C$78*L46)</f>
        <v>0.0884159999999999</v>
      </c>
      <c r="M47" s="24" t="n">
        <f aca="false">MIN(Drivers!$C$77-L48,Drivers!$C$78*M46)</f>
        <v>0</v>
      </c>
      <c r="N47" s="24" t="n">
        <f aca="false">MIN(Drivers!$C$77-M48,Drivers!$C$78*N46)</f>
        <v>0</v>
      </c>
      <c r="O47" s="24" t="n">
        <f aca="false">MIN(Drivers!$C$77-N48,Drivers!$C$78*O46)</f>
        <v>0</v>
      </c>
      <c r="P47" s="24" t="n">
        <f aca="false">MIN(Drivers!$C$77-O48,Drivers!$C$78*P46)</f>
        <v>0</v>
      </c>
      <c r="Q47" s="24" t="n">
        <f aca="false">MIN(Drivers!$C$77-P48,Drivers!$C$78*Q46)</f>
        <v>0</v>
      </c>
      <c r="R47" s="24" t="n">
        <f aca="false">MIN(Drivers!$C$77-Q48,Drivers!$C$78*R46)</f>
        <v>0</v>
      </c>
      <c r="S47" s="24" t="n">
        <f aca="false">MIN(Drivers!$C$77-R48,Drivers!$C$78*S46)</f>
        <v>0</v>
      </c>
      <c r="T47" s="24" t="n">
        <f aca="false">MIN(Drivers!$C$77-S48,Drivers!$C$78*T46)</f>
        <v>0</v>
      </c>
      <c r="U47" s="24" t="n">
        <f aca="false">MIN(Drivers!$C$77-T48,Drivers!$C$78*U46)</f>
        <v>0</v>
      </c>
    </row>
    <row r="48" customFormat="false" ht="15" hidden="false" customHeight="false" outlineLevel="0" collapsed="false">
      <c r="A48" s="9" t="s">
        <v>337</v>
      </c>
      <c r="B48" s="35" t="s">
        <v>326</v>
      </c>
      <c r="C48" s="24" t="n">
        <f aca="false">C47</f>
        <v>0.0189024</v>
      </c>
      <c r="D48" s="24" t="n">
        <f aca="false">C48+D47</f>
        <v>0.0567072</v>
      </c>
      <c r="E48" s="24" t="n">
        <f aca="false">D48+E47</f>
        <v>0.1134144</v>
      </c>
      <c r="F48" s="24" t="n">
        <f aca="false">E48+F47</f>
        <v>0.189024</v>
      </c>
      <c r="G48" s="24" t="n">
        <f aca="false">F48+G47</f>
        <v>0.283536</v>
      </c>
      <c r="H48" s="24" t="n">
        <f aca="false">G48+H47</f>
        <v>0.378048</v>
      </c>
      <c r="I48" s="24" t="n">
        <f aca="false">H48+I47</f>
        <v>0.47256</v>
      </c>
      <c r="J48" s="24" t="n">
        <f aca="false">I48+J47</f>
        <v>0.567072</v>
      </c>
      <c r="K48" s="24" t="n">
        <f aca="false">J48+K47</f>
        <v>0.661584</v>
      </c>
      <c r="L48" s="24" t="n">
        <f aca="false">K48+L47</f>
        <v>0.75</v>
      </c>
      <c r="M48" s="24" t="n">
        <f aca="false">L48+M47</f>
        <v>0.75</v>
      </c>
      <c r="N48" s="24" t="n">
        <f aca="false">M48+N47</f>
        <v>0.75</v>
      </c>
      <c r="O48" s="24" t="n">
        <f aca="false">N48+O47</f>
        <v>0.75</v>
      </c>
      <c r="P48" s="24" t="n">
        <f aca="false">O48+P47</f>
        <v>0.75</v>
      </c>
      <c r="Q48" s="24" t="n">
        <f aca="false">P48+Q47</f>
        <v>0.75</v>
      </c>
      <c r="R48" s="24" t="n">
        <f aca="false">Q48+R47</f>
        <v>0.75</v>
      </c>
      <c r="S48" s="24" t="n">
        <f aca="false">R48+S47</f>
        <v>0.75</v>
      </c>
      <c r="T48" s="24" t="n">
        <f aca="false">S48+T47</f>
        <v>0.75</v>
      </c>
      <c r="U48" s="24" t="n">
        <f aca="false">T48+U47</f>
        <v>0.75</v>
      </c>
    </row>
    <row r="49" customFormat="false" ht="15" hidden="false" customHeight="false" outlineLevel="0" collapsed="false">
      <c r="A49" s="9" t="s">
        <v>338</v>
      </c>
      <c r="B49" s="35" t="s">
        <v>326</v>
      </c>
      <c r="C49" s="24" t="n">
        <f aca="false">Drivers!$C$76*C46+C47</f>
        <v>0.0248094</v>
      </c>
      <c r="D49" s="24" t="n">
        <f aca="false">Drivers!$C$76*D46+D47</f>
        <v>0.0496188</v>
      </c>
      <c r="E49" s="24" t="n">
        <f aca="false">Drivers!$C$76*E46+E47</f>
        <v>0.0744282</v>
      </c>
      <c r="F49" s="24" t="n">
        <f aca="false">Drivers!$C$76*F46+F47</f>
        <v>0.0992376</v>
      </c>
      <c r="G49" s="24" t="n">
        <f aca="false">Drivers!$C$76*G46+G47</f>
        <v>0.124047</v>
      </c>
      <c r="H49" s="24" t="n">
        <f aca="false">Drivers!$C$76*H46+H47</f>
        <v>0.124047</v>
      </c>
      <c r="I49" s="24" t="n">
        <f aca="false">Drivers!$C$76*I46+I47</f>
        <v>0.124047</v>
      </c>
      <c r="J49" s="24" t="n">
        <f aca="false">Drivers!$C$76*J46+J47</f>
        <v>0.124047</v>
      </c>
      <c r="K49" s="24" t="n">
        <f aca="false">Drivers!$C$76*K46+K47</f>
        <v>0.124047</v>
      </c>
      <c r="L49" s="24" t="n">
        <f aca="false">Drivers!$C$76*L46+L47</f>
        <v>0.117951</v>
      </c>
      <c r="M49" s="24" t="n">
        <f aca="false">Drivers!$C$76*M46+M47</f>
        <v>0.029535</v>
      </c>
      <c r="N49" s="24" t="n">
        <f aca="false">Drivers!$C$76*N46+N47</f>
        <v>0.029535</v>
      </c>
      <c r="O49" s="24" t="n">
        <f aca="false">Drivers!$C$76*O46+O47</f>
        <v>0.029535</v>
      </c>
      <c r="P49" s="24" t="n">
        <f aca="false">Drivers!$C$76*P46+P47</f>
        <v>0.029535</v>
      </c>
      <c r="Q49" s="24" t="n">
        <f aca="false">Drivers!$C$76*Q46+Q47</f>
        <v>0.029535</v>
      </c>
      <c r="R49" s="24" t="n">
        <f aca="false">Drivers!$C$76*R46+R47</f>
        <v>0.029535</v>
      </c>
      <c r="S49" s="24" t="n">
        <f aca="false">Drivers!$C$76*S46+S47</f>
        <v>0.029535</v>
      </c>
      <c r="T49" s="24" t="n">
        <f aca="false">Drivers!$C$76*T46+T47</f>
        <v>0.029535</v>
      </c>
      <c r="U49" s="24" t="n">
        <f aca="false">Drivers!$C$76*U46+U47</f>
        <v>0.029535</v>
      </c>
    </row>
    <row r="50" customFormat="false" ht="15" hidden="false" customHeight="false" outlineLevel="0" collapsed="false">
      <c r="A50" s="9" t="s">
        <v>339</v>
      </c>
      <c r="B50" s="35" t="s">
        <v>326</v>
      </c>
      <c r="C50" s="24" t="n">
        <f aca="false">MAX(Drivers!$C$80,Drivers!$C$79*C44)</f>
        <v>0.4</v>
      </c>
      <c r="D50" s="24" t="n">
        <f aca="false">MAX(Drivers!$C$80,Drivers!$C$79*D44)</f>
        <v>0.4</v>
      </c>
      <c r="E50" s="24" t="n">
        <f aca="false">MAX(Drivers!$C$80,Drivers!$C$79*E44)</f>
        <v>0.4</v>
      </c>
      <c r="F50" s="24" t="n">
        <f aca="false">MAX(Drivers!$C$80,Drivers!$C$79*F44)</f>
        <v>0.4</v>
      </c>
      <c r="G50" s="24" t="n">
        <f aca="false">MAX(Drivers!$C$80,Drivers!$C$79*G44)</f>
        <v>0.4</v>
      </c>
      <c r="H50" s="24" t="n">
        <f aca="false">MAX(Drivers!$C$80,Drivers!$C$79*H44)</f>
        <v>0.4</v>
      </c>
      <c r="I50" s="24" t="n">
        <f aca="false">MAX(Drivers!$C$80,Drivers!$C$79*I44)</f>
        <v>0.4</v>
      </c>
      <c r="J50" s="24" t="n">
        <f aca="false">MAX(Drivers!$C$80,Drivers!$C$79*J44)</f>
        <v>0.4</v>
      </c>
      <c r="K50" s="24" t="n">
        <f aca="false">MAX(Drivers!$C$80,Drivers!$C$79*K44)</f>
        <v>0.4</v>
      </c>
      <c r="L50" s="24" t="n">
        <f aca="false">MAX(Drivers!$C$80,Drivers!$C$79*L44)</f>
        <v>0.4</v>
      </c>
      <c r="M50" s="24" t="n">
        <f aca="false">MAX(Drivers!$C$80,Drivers!$C$79*M44)</f>
        <v>0.4</v>
      </c>
      <c r="N50" s="24" t="n">
        <f aca="false">MAX(Drivers!$C$80,Drivers!$C$79*N44)</f>
        <v>0.4</v>
      </c>
      <c r="O50" s="24" t="n">
        <f aca="false">MAX(Drivers!$C$80,Drivers!$C$79*O44)</f>
        <v>0.4</v>
      </c>
      <c r="P50" s="24" t="n">
        <f aca="false">MAX(Drivers!$C$80,Drivers!$C$79*P44)</f>
        <v>0.4</v>
      </c>
      <c r="Q50" s="24" t="n">
        <f aca="false">MAX(Drivers!$C$80,Drivers!$C$79*Q44)</f>
        <v>0.4</v>
      </c>
      <c r="R50" s="24" t="n">
        <f aca="false">MAX(Drivers!$C$80,Drivers!$C$79*R44)</f>
        <v>0.4</v>
      </c>
      <c r="S50" s="24" t="n">
        <f aca="false">MAX(Drivers!$C$80,Drivers!$C$79*S44)</f>
        <v>0.4</v>
      </c>
      <c r="T50" s="24" t="n">
        <f aca="false">MAX(Drivers!$C$80,Drivers!$C$79*T44)</f>
        <v>0.4</v>
      </c>
      <c r="U50" s="24" t="n">
        <f aca="false">MAX(Drivers!$C$80,Drivers!$C$79*U44)</f>
        <v>0.4</v>
      </c>
    </row>
    <row r="51" customFormat="false" ht="15" hidden="false" customHeight="false" outlineLevel="0" collapsed="false">
      <c r="A51" s="9" t="s">
        <v>340</v>
      </c>
      <c r="B51" s="35" t="s">
        <v>326</v>
      </c>
      <c r="C51" s="24" t="n">
        <f aca="false">Drivers!$D$81</f>
        <v>0.75</v>
      </c>
      <c r="D51" s="24" t="n">
        <f aca="false">Drivers!$E$81</f>
        <v>0.62</v>
      </c>
      <c r="E51" s="24" t="n">
        <f aca="false">Drivers!$F$81</f>
        <v>0.55</v>
      </c>
      <c r="F51" s="24" t="n">
        <f aca="false">Drivers!$G$81</f>
        <v>0.5</v>
      </c>
      <c r="G51" s="24" t="n">
        <f aca="false">Drivers!$H$81</f>
        <v>0.48</v>
      </c>
      <c r="H51" s="24" t="n">
        <f aca="false">Drivers!$I$81</f>
        <v>0.46</v>
      </c>
      <c r="I51" s="24" t="n">
        <f aca="false">H51*1.02</f>
        <v>0.4692</v>
      </c>
      <c r="J51" s="24" t="n">
        <f aca="false">I51*1.02</f>
        <v>0.478584</v>
      </c>
      <c r="K51" s="24" t="n">
        <f aca="false">J51*1.02</f>
        <v>0.48815568</v>
      </c>
      <c r="L51" s="24" t="n">
        <f aca="false">K51*1.02</f>
        <v>0.4979187936</v>
      </c>
      <c r="M51" s="24" t="n">
        <f aca="false">L51*1.02</f>
        <v>0.507877169472</v>
      </c>
      <c r="N51" s="24" t="n">
        <f aca="false">M51*1.02</f>
        <v>0.51803471286144</v>
      </c>
      <c r="O51" s="24" t="n">
        <f aca="false">N51*1.02</f>
        <v>0.528395407118669</v>
      </c>
      <c r="P51" s="24" t="n">
        <f aca="false">O51*1.02</f>
        <v>0.538963315261042</v>
      </c>
      <c r="Q51" s="24" t="n">
        <f aca="false">P51*1.02</f>
        <v>0.549742581566263</v>
      </c>
      <c r="R51" s="24" t="n">
        <f aca="false">Q51*1.02</f>
        <v>0.560737433197588</v>
      </c>
      <c r="S51" s="24" t="n">
        <f aca="false">R51*1.02</f>
        <v>0.57195218186154</v>
      </c>
      <c r="T51" s="24" t="n">
        <f aca="false">S51*1.02</f>
        <v>0.583391225498771</v>
      </c>
      <c r="U51" s="24" t="n">
        <f aca="false">T51*1.02</f>
        <v>0.595059050008746</v>
      </c>
    </row>
    <row r="52" customFormat="false" ht="15" hidden="false" customHeight="false" outlineLevel="0" collapsed="false">
      <c r="A52" s="3" t="s">
        <v>341</v>
      </c>
      <c r="B52" s="35" t="s">
        <v>326</v>
      </c>
      <c r="C52" s="29" t="n">
        <f aca="false">C44*C45-C49-C50-C51</f>
        <v>0.0706342000000001</v>
      </c>
      <c r="D52" s="29" t="n">
        <f aca="false">D44*D45-D49-D50-D51</f>
        <v>0.3609708</v>
      </c>
      <c r="E52" s="29" t="n">
        <f aca="false">E44*E45-E49-E50-E51</f>
        <v>0.613866399999999</v>
      </c>
      <c r="F52" s="29" t="n">
        <f aca="false">F44*F45-F49-F50-F51</f>
        <v>0.8280326</v>
      </c>
      <c r="G52" s="29" t="n">
        <f aca="false">G44*G45-G49-G50-G51</f>
        <v>1.010801</v>
      </c>
      <c r="H52" s="29" t="n">
        <f aca="false">H44*H45-H49-H50-H51</f>
        <v>1.044185</v>
      </c>
      <c r="I52" s="29" t="n">
        <f aca="false">I44*I45-I49-I50-I51</f>
        <v>1.053892</v>
      </c>
      <c r="J52" s="29" t="n">
        <f aca="false">J44*J45-J49-J50-J51</f>
        <v>1.02869766</v>
      </c>
      <c r="K52" s="29" t="n">
        <f aca="false">K44*K45-K49-K50-K51</f>
        <v>1.0036318468</v>
      </c>
      <c r="L52" s="29" t="n">
        <f aca="false">L44*L45-L49-L50-L51</f>
        <v>0.984780482664</v>
      </c>
      <c r="M52" s="29" t="n">
        <f aca="false">M44*M45-M49-M50-M51</f>
        <v>1.04835754126672</v>
      </c>
      <c r="N52" s="29" t="n">
        <f aca="false">N44*N45-N49-N50-N51</f>
        <v>1.02361704366251</v>
      </c>
      <c r="O52" s="29" t="n">
        <f aca="false">O44*O45-O49-O50-O51</f>
        <v>0.998965054274798</v>
      </c>
      <c r="P52" s="29" t="n">
        <f aca="false">P44*P45-P49-P50-P51</f>
        <v>0.974391676904555</v>
      </c>
      <c r="Q52" s="29" t="n">
        <f aca="false">Q44*Q45-Q49-Q50-Q51</f>
        <v>0.949887050756022</v>
      </c>
      <c r="R52" s="29" t="n">
        <f aca="false">R44*R45-R49-R50-R51</f>
        <v>0.925441346478251</v>
      </c>
      <c r="S52" s="29" t="n">
        <f aca="false">S44*S45-S49-S50-S51</f>
        <v>0.901044762220782</v>
      </c>
      <c r="T52" s="29" t="n">
        <f aca="false">T44*T45-T49-T50-T51</f>
        <v>0.876687519701905</v>
      </c>
      <c r="U52" s="29" t="n">
        <f aca="false">U44*U45-U49-U50-U51</f>
        <v>0.852359860287916</v>
      </c>
    </row>
    <row r="53" customFormat="false" ht="15" hidden="false" customHeight="false" outlineLevel="0" collapsed="false">
      <c r="A53" s="3" t="s">
        <v>342</v>
      </c>
    </row>
    <row r="54" customFormat="false" ht="15" hidden="false" customHeight="false" outlineLevel="0" collapsed="false">
      <c r="A54" s="9" t="s">
        <v>343</v>
      </c>
      <c r="B54" s="35" t="s">
        <v>326</v>
      </c>
      <c r="C54" s="24" t="n">
        <f aca="false">$D$24*$C$15*IF((C$35-$C$24)&lt;0,0,IF((C$35-$C$24)&gt;=7,1,INDEX(Drivers!$D$86:$J$86,(C$35-$C$24)+1)))*IF((C$35-$C$24)&lt;Drivers!$C$87,1,Drivers!$C$88*Drivers!$C$89^((C$35-$C$24)-Drivers!$C$87))*$E$24</f>
        <v>0</v>
      </c>
      <c r="D54" s="24" t="n">
        <f aca="false">$D$24*$C$15*IF((D$35-$C$24)&lt;0,0,IF((D$35-$C$24)&gt;=7,1,INDEX(Drivers!$D$86:$J$86,(D$35-$C$24)+1)))*IF((D$35-$C$24)&lt;Drivers!$C$87,1,Drivers!$C$88*Drivers!$C$89^((D$35-$C$24)-Drivers!$C$87))*$E$24</f>
        <v>0.0765</v>
      </c>
      <c r="E54" s="24" t="n">
        <f aca="false">$D$24*$C$15*IF((E$35-$C$24)&lt;0,0,IF((E$35-$C$24)&gt;=7,1,INDEX(Drivers!$D$86:$J$86,(E$35-$C$24)+1)))*IF((E$35-$C$24)&lt;Drivers!$C$87,1,Drivers!$C$88*Drivers!$C$89^((E$35-$C$24)-Drivers!$C$87))*$E$24</f>
        <v>0.2390625</v>
      </c>
      <c r="F54" s="24" t="n">
        <f aca="false">$D$24*$C$15*IF((F$35-$C$24)&lt;0,0,IF((F$35-$C$24)&gt;=7,1,INDEX(Drivers!$D$86:$J$86,(F$35-$C$24)+1)))*IF((F$35-$C$24)&lt;Drivers!$C$87,1,Drivers!$C$88*Drivers!$C$89^((F$35-$C$24)-Drivers!$C$87))*$E$24</f>
        <v>0.4303125</v>
      </c>
      <c r="G54" s="24" t="n">
        <f aca="false">$D$24*$C$15*IF((G$35-$C$24)&lt;0,0,IF((G$35-$C$24)&gt;=7,1,INDEX(Drivers!$D$86:$J$86,(G$35-$C$24)+1)))*IF((G$35-$C$24)&lt;Drivers!$C$87,1,Drivers!$C$88*Drivers!$C$89^((G$35-$C$24)-Drivers!$C$87))*$E$24</f>
        <v>0.6215625</v>
      </c>
      <c r="H54" s="24" t="n">
        <f aca="false">$D$24*$C$15*IF((H$35-$C$24)&lt;0,0,IF((H$35-$C$24)&gt;=7,1,INDEX(Drivers!$D$86:$J$86,(H$35-$C$24)+1)))*IF((H$35-$C$24)&lt;Drivers!$C$87,1,Drivers!$C$88*Drivers!$C$89^((H$35-$C$24)-Drivers!$C$87))*$E$24</f>
        <v>0.784125</v>
      </c>
      <c r="I54" s="24" t="n">
        <f aca="false">$D$24*$C$15*IF((I$35-$C$24)&lt;0,0,IF((I$35-$C$24)&gt;=7,1,INDEX(Drivers!$D$86:$J$86,(I$35-$C$24)+1)))*IF((I$35-$C$24)&lt;Drivers!$C$87,1,Drivers!$C$88*Drivers!$C$89^((I$35-$C$24)-Drivers!$C$87))*$E$24</f>
        <v>0.8893125</v>
      </c>
      <c r="J54" s="24" t="n">
        <f aca="false">$D$24*$C$15*IF((J$35-$C$24)&lt;0,0,IF((J$35-$C$24)&gt;=7,1,INDEX(Drivers!$D$86:$J$86,(J$35-$C$24)+1)))*IF((J$35-$C$24)&lt;Drivers!$C$87,1,Drivers!$C$88*Drivers!$C$89^((J$35-$C$24)-Drivers!$C$87))*$E$24</f>
        <v>0.95625</v>
      </c>
      <c r="K54" s="24" t="n">
        <f aca="false">$D$24*$C$15*IF((K$35-$C$24)&lt;0,0,IF((K$35-$C$24)&gt;=7,1,INDEX(Drivers!$D$86:$J$86,(K$35-$C$24)+1)))*IF((K$35-$C$24)&lt;Drivers!$C$87,1,Drivers!$C$88*Drivers!$C$89^((K$35-$C$24)-Drivers!$C$87))*$E$24</f>
        <v>0.95625</v>
      </c>
      <c r="L54" s="24" t="n">
        <f aca="false">$D$24*$C$15*IF((L$35-$C$24)&lt;0,0,IF((L$35-$C$24)&gt;=7,1,INDEX(Drivers!$D$86:$J$86,(L$35-$C$24)+1)))*IF((L$35-$C$24)&lt;Drivers!$C$87,1,Drivers!$C$88*Drivers!$C$89^((L$35-$C$24)-Drivers!$C$87))*$E$24</f>
        <v>0.95625</v>
      </c>
      <c r="M54" s="24" t="n">
        <f aca="false">$D$24*$C$15*IF((M$35-$C$24)&lt;0,0,IF((M$35-$C$24)&gt;=7,1,INDEX(Drivers!$D$86:$J$86,(M$35-$C$24)+1)))*IF((M$35-$C$24)&lt;Drivers!$C$87,1,Drivers!$C$88*Drivers!$C$89^((M$35-$C$24)-Drivers!$C$87))*$E$24</f>
        <v>0.95625</v>
      </c>
      <c r="N54" s="24" t="n">
        <f aca="false">$D$24*$C$15*IF((N$35-$C$24)&lt;0,0,IF((N$35-$C$24)&gt;=7,1,INDEX(Drivers!$D$86:$J$86,(N$35-$C$24)+1)))*IF((N$35-$C$24)&lt;Drivers!$C$87,1,Drivers!$C$88*Drivers!$C$89^((N$35-$C$24)-Drivers!$C$87))*$E$24</f>
        <v>0.95625</v>
      </c>
      <c r="O54" s="24" t="n">
        <f aca="false">$D$24*$C$15*IF((O$35-$C$24)&lt;0,0,IF((O$35-$C$24)&gt;=7,1,INDEX(Drivers!$D$86:$J$86,(O$35-$C$24)+1)))*IF((O$35-$C$24)&lt;Drivers!$C$87,1,Drivers!$C$88*Drivers!$C$89^((O$35-$C$24)-Drivers!$C$87))*$E$24</f>
        <v>0.95625</v>
      </c>
      <c r="P54" s="24" t="n">
        <f aca="false">$D$24*$C$15*IF((P$35-$C$24)&lt;0,0,IF((P$35-$C$24)&gt;=7,1,INDEX(Drivers!$D$86:$J$86,(P$35-$C$24)+1)))*IF((P$35-$C$24)&lt;Drivers!$C$87,1,Drivers!$C$88*Drivers!$C$89^((P$35-$C$24)-Drivers!$C$87))*$E$24</f>
        <v>0.765</v>
      </c>
      <c r="Q54" s="24" t="n">
        <f aca="false">$D$24*$C$15*IF((Q$35-$C$24)&lt;0,0,IF((Q$35-$C$24)&gt;=7,1,INDEX(Drivers!$D$86:$J$86,(Q$35-$C$24)+1)))*IF((Q$35-$C$24)&lt;Drivers!$C$87,1,Drivers!$C$88*Drivers!$C$89^((Q$35-$C$24)-Drivers!$C$87))*$E$24</f>
        <v>0.74205</v>
      </c>
      <c r="R54" s="24" t="n">
        <f aca="false">$D$24*$C$15*IF((R$35-$C$24)&lt;0,0,IF((R$35-$C$24)&gt;=7,1,INDEX(Drivers!$D$86:$J$86,(R$35-$C$24)+1)))*IF((R$35-$C$24)&lt;Drivers!$C$87,1,Drivers!$C$88*Drivers!$C$89^((R$35-$C$24)-Drivers!$C$87))*$E$24</f>
        <v>0.7197885</v>
      </c>
      <c r="S54" s="24" t="n">
        <f aca="false">$D$24*$C$15*IF((S$35-$C$24)&lt;0,0,IF((S$35-$C$24)&gt;=7,1,INDEX(Drivers!$D$86:$J$86,(S$35-$C$24)+1)))*IF((S$35-$C$24)&lt;Drivers!$C$87,1,Drivers!$C$88*Drivers!$C$89^((S$35-$C$24)-Drivers!$C$87))*$E$24</f>
        <v>0.698194845</v>
      </c>
      <c r="T54" s="24" t="n">
        <f aca="false">$D$24*$C$15*IF((T$35-$C$24)&lt;0,0,IF((T$35-$C$24)&gt;=7,1,INDEX(Drivers!$D$86:$J$86,(T$35-$C$24)+1)))*IF((T$35-$C$24)&lt;Drivers!$C$87,1,Drivers!$C$88*Drivers!$C$89^((T$35-$C$24)-Drivers!$C$87))*$E$24</f>
        <v>0.67724899965</v>
      </c>
      <c r="U54" s="24" t="n">
        <f aca="false">$D$24*$C$15*IF((U$35-$C$24)&lt;0,0,IF((U$35-$C$24)&gt;=7,1,INDEX(Drivers!$D$86:$J$86,(U$35-$C$24)+1)))*IF((U$35-$C$24)&lt;Drivers!$C$87,1,Drivers!$C$88*Drivers!$C$89^((U$35-$C$24)-Drivers!$C$87))*$E$24</f>
        <v>0.6569315296605</v>
      </c>
    </row>
    <row r="55" customFormat="false" ht="15" hidden="false" customHeight="false" outlineLevel="0" collapsed="false">
      <c r="A55" s="9" t="s">
        <v>344</v>
      </c>
      <c r="B55" s="35" t="s">
        <v>326</v>
      </c>
      <c r="C55" s="24" t="n">
        <f aca="false">$D$25*$C$15*IF((C$35-$C$25)&lt;0,0,IF((C$35-$C$25)&gt;=7,1,INDEX(Drivers!$D$86:$J$86,(C$35-$C$25)+1)))*IF((C$35-$C$25)&lt;Drivers!$C$87,1,Drivers!$C$88*Drivers!$C$89^((C$35-$C$25)-Drivers!$C$87))*$E$25</f>
        <v>0</v>
      </c>
      <c r="D55" s="24" t="n">
        <f aca="false">$D$25*$C$15*IF((D$35-$C$25)&lt;0,0,IF((D$35-$C$25)&gt;=7,1,INDEX(Drivers!$D$86:$J$86,(D$35-$C$25)+1)))*IF((D$35-$C$25)&lt;Drivers!$C$87,1,Drivers!$C$88*Drivers!$C$89^((D$35-$C$25)-Drivers!$C$87))*$E$25</f>
        <v>0</v>
      </c>
      <c r="E55" s="24" t="n">
        <f aca="false">$D$25*$C$15*IF((E$35-$C$25)&lt;0,0,IF((E$35-$C$25)&gt;=7,1,INDEX(Drivers!$D$86:$J$86,(E$35-$C$25)+1)))*IF((E$35-$C$25)&lt;Drivers!$C$87,1,Drivers!$C$88*Drivers!$C$89^((E$35-$C$25)-Drivers!$C$87))*$E$25</f>
        <v>0</v>
      </c>
      <c r="F55" s="24" t="n">
        <f aca="false">$D$25*$C$15*IF((F$35-$C$25)&lt;0,0,IF((F$35-$C$25)&gt;=7,1,INDEX(Drivers!$D$86:$J$86,(F$35-$C$25)+1)))*IF((F$35-$C$25)&lt;Drivers!$C$87,1,Drivers!$C$88*Drivers!$C$89^((F$35-$C$25)-Drivers!$C$87))*$E$25</f>
        <v>0</v>
      </c>
      <c r="G55" s="24" t="n">
        <f aca="false">$D$25*$C$15*IF((G$35-$C$25)&lt;0,0,IF((G$35-$C$25)&gt;=7,1,INDEX(Drivers!$D$86:$J$86,(G$35-$C$25)+1)))*IF((G$35-$C$25)&lt;Drivers!$C$87,1,Drivers!$C$88*Drivers!$C$89^((G$35-$C$25)-Drivers!$C$87))*$E$25</f>
        <v>0.06048</v>
      </c>
      <c r="H55" s="24" t="n">
        <f aca="false">$D$25*$C$15*IF((H$35-$C$25)&lt;0,0,IF((H$35-$C$25)&gt;=7,1,INDEX(Drivers!$D$86:$J$86,(H$35-$C$25)+1)))*IF((H$35-$C$25)&lt;Drivers!$C$87,1,Drivers!$C$88*Drivers!$C$89^((H$35-$C$25)-Drivers!$C$87))*$E$25</f>
        <v>0.189</v>
      </c>
      <c r="I55" s="24" t="n">
        <f aca="false">$D$25*$C$15*IF((I$35-$C$25)&lt;0,0,IF((I$35-$C$25)&gt;=7,1,INDEX(Drivers!$D$86:$J$86,(I$35-$C$25)+1)))*IF((I$35-$C$25)&lt;Drivers!$C$87,1,Drivers!$C$88*Drivers!$C$89^((I$35-$C$25)-Drivers!$C$87))*$E$25</f>
        <v>0.3402</v>
      </c>
      <c r="J55" s="24" t="n">
        <f aca="false">$D$25*$C$15*IF((J$35-$C$25)&lt;0,0,IF((J$35-$C$25)&gt;=7,1,INDEX(Drivers!$D$86:$J$86,(J$35-$C$25)+1)))*IF((J$35-$C$25)&lt;Drivers!$C$87,1,Drivers!$C$88*Drivers!$C$89^((J$35-$C$25)-Drivers!$C$87))*$E$25</f>
        <v>0.4914</v>
      </c>
      <c r="K55" s="24" t="n">
        <f aca="false">$D$25*$C$15*IF((K$35-$C$25)&lt;0,0,IF((K$35-$C$25)&gt;=7,1,INDEX(Drivers!$D$86:$J$86,(K$35-$C$25)+1)))*IF((K$35-$C$25)&lt;Drivers!$C$87,1,Drivers!$C$88*Drivers!$C$89^((K$35-$C$25)-Drivers!$C$87))*$E$25</f>
        <v>0.61992</v>
      </c>
      <c r="L55" s="24" t="n">
        <f aca="false">$D$25*$C$15*IF((L$35-$C$25)&lt;0,0,IF((L$35-$C$25)&gt;=7,1,INDEX(Drivers!$D$86:$J$86,(L$35-$C$25)+1)))*IF((L$35-$C$25)&lt;Drivers!$C$87,1,Drivers!$C$88*Drivers!$C$89^((L$35-$C$25)-Drivers!$C$87))*$E$25</f>
        <v>0.70308</v>
      </c>
      <c r="M55" s="24" t="n">
        <f aca="false">$D$25*$C$15*IF((M$35-$C$25)&lt;0,0,IF((M$35-$C$25)&gt;=7,1,INDEX(Drivers!$D$86:$J$86,(M$35-$C$25)+1)))*IF((M$35-$C$25)&lt;Drivers!$C$87,1,Drivers!$C$88*Drivers!$C$89^((M$35-$C$25)-Drivers!$C$87))*$E$25</f>
        <v>0.756</v>
      </c>
      <c r="N55" s="24" t="n">
        <f aca="false">$D$25*$C$15*IF((N$35-$C$25)&lt;0,0,IF((N$35-$C$25)&gt;=7,1,INDEX(Drivers!$D$86:$J$86,(N$35-$C$25)+1)))*IF((N$35-$C$25)&lt;Drivers!$C$87,1,Drivers!$C$88*Drivers!$C$89^((N$35-$C$25)-Drivers!$C$87))*$E$25</f>
        <v>0.756</v>
      </c>
      <c r="O55" s="24" t="n">
        <f aca="false">$D$25*$C$15*IF((O$35-$C$25)&lt;0,0,IF((O$35-$C$25)&gt;=7,1,INDEX(Drivers!$D$86:$J$86,(O$35-$C$25)+1)))*IF((O$35-$C$25)&lt;Drivers!$C$87,1,Drivers!$C$88*Drivers!$C$89^((O$35-$C$25)-Drivers!$C$87))*$E$25</f>
        <v>0.756</v>
      </c>
      <c r="P55" s="24" t="n">
        <f aca="false">$D$25*$C$15*IF((P$35-$C$25)&lt;0,0,IF((P$35-$C$25)&gt;=7,1,INDEX(Drivers!$D$86:$J$86,(P$35-$C$25)+1)))*IF((P$35-$C$25)&lt;Drivers!$C$87,1,Drivers!$C$88*Drivers!$C$89^((P$35-$C$25)-Drivers!$C$87))*$E$25</f>
        <v>0.756</v>
      </c>
      <c r="Q55" s="24" t="n">
        <f aca="false">$D$25*$C$15*IF((Q$35-$C$25)&lt;0,0,IF((Q$35-$C$25)&gt;=7,1,INDEX(Drivers!$D$86:$J$86,(Q$35-$C$25)+1)))*IF((Q$35-$C$25)&lt;Drivers!$C$87,1,Drivers!$C$88*Drivers!$C$89^((Q$35-$C$25)-Drivers!$C$87))*$E$25</f>
        <v>0.756</v>
      </c>
      <c r="R55" s="24" t="n">
        <f aca="false">$D$25*$C$15*IF((R$35-$C$25)&lt;0,0,IF((R$35-$C$25)&gt;=7,1,INDEX(Drivers!$D$86:$J$86,(R$35-$C$25)+1)))*IF((R$35-$C$25)&lt;Drivers!$C$87,1,Drivers!$C$88*Drivers!$C$89^((R$35-$C$25)-Drivers!$C$87))*$E$25</f>
        <v>0.756</v>
      </c>
      <c r="S55" s="24" t="n">
        <f aca="false">$D$25*$C$15*IF((S$35-$C$25)&lt;0,0,IF((S$35-$C$25)&gt;=7,1,INDEX(Drivers!$D$86:$J$86,(S$35-$C$25)+1)))*IF((S$35-$C$25)&lt;Drivers!$C$87,1,Drivers!$C$88*Drivers!$C$89^((S$35-$C$25)-Drivers!$C$87))*$E$25</f>
        <v>0.6048</v>
      </c>
      <c r="T55" s="24" t="n">
        <f aca="false">$D$25*$C$15*IF((T$35-$C$25)&lt;0,0,IF((T$35-$C$25)&gt;=7,1,INDEX(Drivers!$D$86:$J$86,(T$35-$C$25)+1)))*IF((T$35-$C$25)&lt;Drivers!$C$87,1,Drivers!$C$88*Drivers!$C$89^((T$35-$C$25)-Drivers!$C$87))*$E$25</f>
        <v>0.586656</v>
      </c>
      <c r="U55" s="24" t="n">
        <f aca="false">$D$25*$C$15*IF((U$35-$C$25)&lt;0,0,IF((U$35-$C$25)&gt;=7,1,INDEX(Drivers!$D$86:$J$86,(U$35-$C$25)+1)))*IF((U$35-$C$25)&lt;Drivers!$C$87,1,Drivers!$C$88*Drivers!$C$89^((U$35-$C$25)-Drivers!$C$87))*$E$25</f>
        <v>0.56905632</v>
      </c>
    </row>
    <row r="56" customFormat="false" ht="15" hidden="false" customHeight="false" outlineLevel="0" collapsed="false">
      <c r="A56" s="9" t="s">
        <v>345</v>
      </c>
      <c r="B56" s="35" t="s">
        <v>326</v>
      </c>
      <c r="C56" s="24" t="n">
        <f aca="false">$D$26*$C$15*IF((C$35-$C$26)&lt;0,0,IF((C$35-$C$26)&gt;=7,1,INDEX(Drivers!$D$86:$J$86,(C$35-$C$26)+1)))*IF((C$35-$C$26)&lt;Drivers!$C$87,1,Drivers!$C$88*Drivers!$C$89^((C$35-$C$26)-Drivers!$C$87))*$E$26</f>
        <v>0</v>
      </c>
      <c r="D56" s="24" t="n">
        <f aca="false">$D$26*$C$15*IF((D$35-$C$26)&lt;0,0,IF((D$35-$C$26)&gt;=7,1,INDEX(Drivers!$D$86:$J$86,(D$35-$C$26)+1)))*IF((D$35-$C$26)&lt;Drivers!$C$87,1,Drivers!$C$88*Drivers!$C$89^((D$35-$C$26)-Drivers!$C$87))*$E$26</f>
        <v>0</v>
      </c>
      <c r="E56" s="24" t="n">
        <f aca="false">$D$26*$C$15*IF((E$35-$C$26)&lt;0,0,IF((E$35-$C$26)&gt;=7,1,INDEX(Drivers!$D$86:$J$86,(E$35-$C$26)+1)))*IF((E$35-$C$26)&lt;Drivers!$C$87,1,Drivers!$C$88*Drivers!$C$89^((E$35-$C$26)-Drivers!$C$87))*$E$26</f>
        <v>0</v>
      </c>
      <c r="F56" s="24" t="n">
        <f aca="false">$D$26*$C$15*IF((F$35-$C$26)&lt;0,0,IF((F$35-$C$26)&gt;=7,1,INDEX(Drivers!$D$86:$J$86,(F$35-$C$26)+1)))*IF((F$35-$C$26)&lt;Drivers!$C$87,1,Drivers!$C$88*Drivers!$C$89^((F$35-$C$26)-Drivers!$C$87))*$E$26</f>
        <v>0</v>
      </c>
      <c r="G56" s="24" t="n">
        <f aca="false">$D$26*$C$15*IF((G$35-$C$26)&lt;0,0,IF((G$35-$C$26)&gt;=7,1,INDEX(Drivers!$D$86:$J$86,(G$35-$C$26)+1)))*IF((G$35-$C$26)&lt;Drivers!$C$87,1,Drivers!$C$88*Drivers!$C$89^((G$35-$C$26)-Drivers!$C$87))*$E$26</f>
        <v>0</v>
      </c>
      <c r="H56" s="24" t="n">
        <f aca="false">$D$26*$C$15*IF((H$35-$C$26)&lt;0,0,IF((H$35-$C$26)&gt;=7,1,INDEX(Drivers!$D$86:$J$86,(H$35-$C$26)+1)))*IF((H$35-$C$26)&lt;Drivers!$C$87,1,Drivers!$C$88*Drivers!$C$89^((H$35-$C$26)-Drivers!$C$87))*$E$26</f>
        <v>0</v>
      </c>
      <c r="I56" s="24" t="n">
        <f aca="false">$D$26*$C$15*IF((I$35-$C$26)&lt;0,0,IF((I$35-$C$26)&gt;=7,1,INDEX(Drivers!$D$86:$J$86,(I$35-$C$26)+1)))*IF((I$35-$C$26)&lt;Drivers!$C$87,1,Drivers!$C$88*Drivers!$C$89^((I$35-$C$26)-Drivers!$C$87))*$E$26</f>
        <v>0</v>
      </c>
      <c r="J56" s="24" t="n">
        <f aca="false">$D$26*$C$15*IF((J$35-$C$26)&lt;0,0,IF((J$35-$C$26)&gt;=7,1,INDEX(Drivers!$D$86:$J$86,(J$35-$C$26)+1)))*IF((J$35-$C$26)&lt;Drivers!$C$87,1,Drivers!$C$88*Drivers!$C$89^((J$35-$C$26)-Drivers!$C$87))*$E$26</f>
        <v>0.02016</v>
      </c>
      <c r="K56" s="24" t="n">
        <f aca="false">$D$26*$C$15*IF((K$35-$C$26)&lt;0,0,IF((K$35-$C$26)&gt;=7,1,INDEX(Drivers!$D$86:$J$86,(K$35-$C$26)+1)))*IF((K$35-$C$26)&lt;Drivers!$C$87,1,Drivers!$C$88*Drivers!$C$89^((K$35-$C$26)-Drivers!$C$87))*$E$26</f>
        <v>0.063</v>
      </c>
      <c r="L56" s="24" t="n">
        <f aca="false">$D$26*$C$15*IF((L$35-$C$26)&lt;0,0,IF((L$35-$C$26)&gt;=7,1,INDEX(Drivers!$D$86:$J$86,(L$35-$C$26)+1)))*IF((L$35-$C$26)&lt;Drivers!$C$87,1,Drivers!$C$88*Drivers!$C$89^((L$35-$C$26)-Drivers!$C$87))*$E$26</f>
        <v>0.1134</v>
      </c>
      <c r="M56" s="24" t="n">
        <f aca="false">$D$26*$C$15*IF((M$35-$C$26)&lt;0,0,IF((M$35-$C$26)&gt;=7,1,INDEX(Drivers!$D$86:$J$86,(M$35-$C$26)+1)))*IF((M$35-$C$26)&lt;Drivers!$C$87,1,Drivers!$C$88*Drivers!$C$89^((M$35-$C$26)-Drivers!$C$87))*$E$26</f>
        <v>0.1638</v>
      </c>
      <c r="N56" s="24" t="n">
        <f aca="false">$D$26*$C$15*IF((N$35-$C$26)&lt;0,0,IF((N$35-$C$26)&gt;=7,1,INDEX(Drivers!$D$86:$J$86,(N$35-$C$26)+1)))*IF((N$35-$C$26)&lt;Drivers!$C$87,1,Drivers!$C$88*Drivers!$C$89^((N$35-$C$26)-Drivers!$C$87))*$E$26</f>
        <v>0.20664</v>
      </c>
      <c r="O56" s="24" t="n">
        <f aca="false">$D$26*$C$15*IF((O$35-$C$26)&lt;0,0,IF((O$35-$C$26)&gt;=7,1,INDEX(Drivers!$D$86:$J$86,(O$35-$C$26)+1)))*IF((O$35-$C$26)&lt;Drivers!$C$87,1,Drivers!$C$88*Drivers!$C$89^((O$35-$C$26)-Drivers!$C$87))*$E$26</f>
        <v>0.23436</v>
      </c>
      <c r="P56" s="24" t="n">
        <f aca="false">$D$26*$C$15*IF((P$35-$C$26)&lt;0,0,IF((P$35-$C$26)&gt;=7,1,INDEX(Drivers!$D$86:$J$86,(P$35-$C$26)+1)))*IF((P$35-$C$26)&lt;Drivers!$C$87,1,Drivers!$C$88*Drivers!$C$89^((P$35-$C$26)-Drivers!$C$87))*$E$26</f>
        <v>0.252</v>
      </c>
      <c r="Q56" s="24" t="n">
        <f aca="false">$D$26*$C$15*IF((Q$35-$C$26)&lt;0,0,IF((Q$35-$C$26)&gt;=7,1,INDEX(Drivers!$D$86:$J$86,(Q$35-$C$26)+1)))*IF((Q$35-$C$26)&lt;Drivers!$C$87,1,Drivers!$C$88*Drivers!$C$89^((Q$35-$C$26)-Drivers!$C$87))*$E$26</f>
        <v>0.252</v>
      </c>
      <c r="R56" s="24" t="n">
        <f aca="false">$D$26*$C$15*IF((R$35-$C$26)&lt;0,0,IF((R$35-$C$26)&gt;=7,1,INDEX(Drivers!$D$86:$J$86,(R$35-$C$26)+1)))*IF((R$35-$C$26)&lt;Drivers!$C$87,1,Drivers!$C$88*Drivers!$C$89^((R$35-$C$26)-Drivers!$C$87))*$E$26</f>
        <v>0.252</v>
      </c>
      <c r="S56" s="24" t="n">
        <f aca="false">$D$26*$C$15*IF((S$35-$C$26)&lt;0,0,IF((S$35-$C$26)&gt;=7,1,INDEX(Drivers!$D$86:$J$86,(S$35-$C$26)+1)))*IF((S$35-$C$26)&lt;Drivers!$C$87,1,Drivers!$C$88*Drivers!$C$89^((S$35-$C$26)-Drivers!$C$87))*$E$26</f>
        <v>0.252</v>
      </c>
      <c r="T56" s="24" t="n">
        <f aca="false">$D$26*$C$15*IF((T$35-$C$26)&lt;0,0,IF((T$35-$C$26)&gt;=7,1,INDEX(Drivers!$D$86:$J$86,(T$35-$C$26)+1)))*IF((T$35-$C$26)&lt;Drivers!$C$87,1,Drivers!$C$88*Drivers!$C$89^((T$35-$C$26)-Drivers!$C$87))*$E$26</f>
        <v>0.252</v>
      </c>
      <c r="U56" s="24" t="n">
        <f aca="false">$D$26*$C$15*IF((U$35-$C$26)&lt;0,0,IF((U$35-$C$26)&gt;=7,1,INDEX(Drivers!$D$86:$J$86,(U$35-$C$26)+1)))*IF((U$35-$C$26)&lt;Drivers!$C$87,1,Drivers!$C$88*Drivers!$C$89^((U$35-$C$26)-Drivers!$C$87))*$E$26</f>
        <v>0.252</v>
      </c>
    </row>
    <row r="57" customFormat="false" ht="15" hidden="false" customHeight="false" outlineLevel="0" collapsed="false">
      <c r="A57" s="9" t="s">
        <v>346</v>
      </c>
      <c r="B57" s="35" t="s">
        <v>326</v>
      </c>
      <c r="C57" s="24" t="n">
        <f aca="false">$D$27*$C$15*IF((C$35-$C$27)&lt;0,0,IF((C$35-$C$27)&gt;=7,1,INDEX(Drivers!$D$86:$J$86,(C$35-$C$27)+1)))*IF((C$35-$C$27)&lt;Drivers!$C$87,1,Drivers!$C$88*Drivers!$C$89^((C$35-$C$27)-Drivers!$C$87))*$E$27</f>
        <v>0</v>
      </c>
      <c r="D57" s="24" t="n">
        <f aca="false">$D$27*$C$15*IF((D$35-$C$27)&lt;0,0,IF((D$35-$C$27)&gt;=7,1,INDEX(Drivers!$D$86:$J$86,(D$35-$C$27)+1)))*IF((D$35-$C$27)&lt;Drivers!$C$87,1,Drivers!$C$88*Drivers!$C$89^((D$35-$C$27)-Drivers!$C$87))*$E$27</f>
        <v>0</v>
      </c>
      <c r="E57" s="24" t="n">
        <f aca="false">$D$27*$C$15*IF((E$35-$C$27)&lt;0,0,IF((E$35-$C$27)&gt;=7,1,INDEX(Drivers!$D$86:$J$86,(E$35-$C$27)+1)))*IF((E$35-$C$27)&lt;Drivers!$C$87,1,Drivers!$C$88*Drivers!$C$89^((E$35-$C$27)-Drivers!$C$87))*$E$27</f>
        <v>0</v>
      </c>
      <c r="F57" s="24" t="n">
        <f aca="false">$D$27*$C$15*IF((F$35-$C$27)&lt;0,0,IF((F$35-$C$27)&gt;=7,1,INDEX(Drivers!$D$86:$J$86,(F$35-$C$27)+1)))*IF((F$35-$C$27)&lt;Drivers!$C$87,1,Drivers!$C$88*Drivers!$C$89^((F$35-$C$27)-Drivers!$C$87))*$E$27</f>
        <v>0</v>
      </c>
      <c r="G57" s="24" t="n">
        <f aca="false">$D$27*$C$15*IF((G$35-$C$27)&lt;0,0,IF((G$35-$C$27)&gt;=7,1,INDEX(Drivers!$D$86:$J$86,(G$35-$C$27)+1)))*IF((G$35-$C$27)&lt;Drivers!$C$87,1,Drivers!$C$88*Drivers!$C$89^((G$35-$C$27)-Drivers!$C$87))*$E$27</f>
        <v>0</v>
      </c>
      <c r="H57" s="24" t="n">
        <f aca="false">$D$27*$C$15*IF((H$35-$C$27)&lt;0,0,IF((H$35-$C$27)&gt;=7,1,INDEX(Drivers!$D$86:$J$86,(H$35-$C$27)+1)))*IF((H$35-$C$27)&lt;Drivers!$C$87,1,Drivers!$C$88*Drivers!$C$89^((H$35-$C$27)-Drivers!$C$87))*$E$27</f>
        <v>0</v>
      </c>
      <c r="I57" s="24" t="n">
        <f aca="false">$D$27*$C$15*IF((I$35-$C$27)&lt;0,0,IF((I$35-$C$27)&gt;=7,1,INDEX(Drivers!$D$86:$J$86,(I$35-$C$27)+1)))*IF((I$35-$C$27)&lt;Drivers!$C$87,1,Drivers!$C$88*Drivers!$C$89^((I$35-$C$27)-Drivers!$C$87))*$E$27</f>
        <v>0</v>
      </c>
      <c r="J57" s="24" t="n">
        <f aca="false">$D$27*$C$15*IF((J$35-$C$27)&lt;0,0,IF((J$35-$C$27)&gt;=7,1,INDEX(Drivers!$D$86:$J$86,(J$35-$C$27)+1)))*IF((J$35-$C$27)&lt;Drivers!$C$87,1,Drivers!$C$88*Drivers!$C$89^((J$35-$C$27)-Drivers!$C$87))*$E$27</f>
        <v>0</v>
      </c>
      <c r="K57" s="24" t="n">
        <f aca="false">$D$27*$C$15*IF((K$35-$C$27)&lt;0,0,IF((K$35-$C$27)&gt;=7,1,INDEX(Drivers!$D$86:$J$86,(K$35-$C$27)+1)))*IF((K$35-$C$27)&lt;Drivers!$C$87,1,Drivers!$C$88*Drivers!$C$89^((K$35-$C$27)-Drivers!$C$87))*$E$27</f>
        <v>0.0294</v>
      </c>
      <c r="L57" s="24" t="n">
        <f aca="false">$D$27*$C$15*IF((L$35-$C$27)&lt;0,0,IF((L$35-$C$27)&gt;=7,1,INDEX(Drivers!$D$86:$J$86,(L$35-$C$27)+1)))*IF((L$35-$C$27)&lt;Drivers!$C$87,1,Drivers!$C$88*Drivers!$C$89^((L$35-$C$27)-Drivers!$C$87))*$E$27</f>
        <v>0.091875</v>
      </c>
      <c r="M57" s="24" t="n">
        <f aca="false">$D$27*$C$15*IF((M$35-$C$27)&lt;0,0,IF((M$35-$C$27)&gt;=7,1,INDEX(Drivers!$D$86:$J$86,(M$35-$C$27)+1)))*IF((M$35-$C$27)&lt;Drivers!$C$87,1,Drivers!$C$88*Drivers!$C$89^((M$35-$C$27)-Drivers!$C$87))*$E$27</f>
        <v>0.165375</v>
      </c>
      <c r="N57" s="24" t="n">
        <f aca="false">$D$27*$C$15*IF((N$35-$C$27)&lt;0,0,IF((N$35-$C$27)&gt;=7,1,INDEX(Drivers!$D$86:$J$86,(N$35-$C$27)+1)))*IF((N$35-$C$27)&lt;Drivers!$C$87,1,Drivers!$C$88*Drivers!$C$89^((N$35-$C$27)-Drivers!$C$87))*$E$27</f>
        <v>0.238875</v>
      </c>
      <c r="O57" s="24" t="n">
        <f aca="false">$D$27*$C$15*IF((O$35-$C$27)&lt;0,0,IF((O$35-$C$27)&gt;=7,1,INDEX(Drivers!$D$86:$J$86,(O$35-$C$27)+1)))*IF((O$35-$C$27)&lt;Drivers!$C$87,1,Drivers!$C$88*Drivers!$C$89^((O$35-$C$27)-Drivers!$C$87))*$E$27</f>
        <v>0.30135</v>
      </c>
      <c r="P57" s="24" t="n">
        <f aca="false">$D$27*$C$15*IF((P$35-$C$27)&lt;0,0,IF((P$35-$C$27)&gt;=7,1,INDEX(Drivers!$D$86:$J$86,(P$35-$C$27)+1)))*IF((P$35-$C$27)&lt;Drivers!$C$87,1,Drivers!$C$88*Drivers!$C$89^((P$35-$C$27)-Drivers!$C$87))*$E$27</f>
        <v>0.341775</v>
      </c>
      <c r="Q57" s="24" t="n">
        <f aca="false">$D$27*$C$15*IF((Q$35-$C$27)&lt;0,0,IF((Q$35-$C$27)&gt;=7,1,INDEX(Drivers!$D$86:$J$86,(Q$35-$C$27)+1)))*IF((Q$35-$C$27)&lt;Drivers!$C$87,1,Drivers!$C$88*Drivers!$C$89^((Q$35-$C$27)-Drivers!$C$87))*$E$27</f>
        <v>0.3675</v>
      </c>
      <c r="R57" s="24" t="n">
        <f aca="false">$D$27*$C$15*IF((R$35-$C$27)&lt;0,0,IF((R$35-$C$27)&gt;=7,1,INDEX(Drivers!$D$86:$J$86,(R$35-$C$27)+1)))*IF((R$35-$C$27)&lt;Drivers!$C$87,1,Drivers!$C$88*Drivers!$C$89^((R$35-$C$27)-Drivers!$C$87))*$E$27</f>
        <v>0.3675</v>
      </c>
      <c r="S57" s="24" t="n">
        <f aca="false">$D$27*$C$15*IF((S$35-$C$27)&lt;0,0,IF((S$35-$C$27)&gt;=7,1,INDEX(Drivers!$D$86:$J$86,(S$35-$C$27)+1)))*IF((S$35-$C$27)&lt;Drivers!$C$87,1,Drivers!$C$88*Drivers!$C$89^((S$35-$C$27)-Drivers!$C$87))*$E$27</f>
        <v>0.3675</v>
      </c>
      <c r="T57" s="24" t="n">
        <f aca="false">$D$27*$C$15*IF((T$35-$C$27)&lt;0,0,IF((T$35-$C$27)&gt;=7,1,INDEX(Drivers!$D$86:$J$86,(T$35-$C$27)+1)))*IF((T$35-$C$27)&lt;Drivers!$C$87,1,Drivers!$C$88*Drivers!$C$89^((T$35-$C$27)-Drivers!$C$87))*$E$27</f>
        <v>0.3675</v>
      </c>
      <c r="U57" s="24" t="n">
        <f aca="false">$D$27*$C$15*IF((U$35-$C$27)&lt;0,0,IF((U$35-$C$27)&gt;=7,1,INDEX(Drivers!$D$86:$J$86,(U$35-$C$27)+1)))*IF((U$35-$C$27)&lt;Drivers!$C$87,1,Drivers!$C$88*Drivers!$C$89^((U$35-$C$27)-Drivers!$C$87))*$E$27</f>
        <v>0.3675</v>
      </c>
    </row>
    <row r="58" customFormat="false" ht="15" hidden="false" customHeight="false" outlineLevel="0" collapsed="false">
      <c r="A58" s="9" t="s">
        <v>347</v>
      </c>
      <c r="B58" s="35" t="s">
        <v>326</v>
      </c>
      <c r="C58" s="24" t="n">
        <f aca="false">$D$28*$C$15*IF((C$35-$C$28)&lt;0,0,IF((C$35-$C$28)&gt;=7,1,INDEX(Drivers!$D$86:$J$86,(C$35-$C$28)+1)))*IF((C$35-$C$28)&lt;Drivers!$C$87,1,Drivers!$C$88*Drivers!$C$89^((C$35-$C$28)-Drivers!$C$87))*$E$28</f>
        <v>0</v>
      </c>
      <c r="D58" s="24" t="n">
        <f aca="false">$D$28*$C$15*IF((D$35-$C$28)&lt;0,0,IF((D$35-$C$28)&gt;=7,1,INDEX(Drivers!$D$86:$J$86,(D$35-$C$28)+1)))*IF((D$35-$C$28)&lt;Drivers!$C$87,1,Drivers!$C$88*Drivers!$C$89^((D$35-$C$28)-Drivers!$C$87))*$E$28</f>
        <v>0</v>
      </c>
      <c r="E58" s="24" t="n">
        <f aca="false">$D$28*$C$15*IF((E$35-$C$28)&lt;0,0,IF((E$35-$C$28)&gt;=7,1,INDEX(Drivers!$D$86:$J$86,(E$35-$C$28)+1)))*IF((E$35-$C$28)&lt;Drivers!$C$87,1,Drivers!$C$88*Drivers!$C$89^((E$35-$C$28)-Drivers!$C$87))*$E$28</f>
        <v>0</v>
      </c>
      <c r="F58" s="24" t="n">
        <f aca="false">$D$28*$C$15*IF((F$35-$C$28)&lt;0,0,IF((F$35-$C$28)&gt;=7,1,INDEX(Drivers!$D$86:$J$86,(F$35-$C$28)+1)))*IF((F$35-$C$28)&lt;Drivers!$C$87,1,Drivers!$C$88*Drivers!$C$89^((F$35-$C$28)-Drivers!$C$87))*$E$28</f>
        <v>0</v>
      </c>
      <c r="G58" s="24" t="n">
        <f aca="false">$D$28*$C$15*IF((G$35-$C$28)&lt;0,0,IF((G$35-$C$28)&gt;=7,1,INDEX(Drivers!$D$86:$J$86,(G$35-$C$28)+1)))*IF((G$35-$C$28)&lt;Drivers!$C$87,1,Drivers!$C$88*Drivers!$C$89^((G$35-$C$28)-Drivers!$C$87))*$E$28</f>
        <v>0.01008</v>
      </c>
      <c r="H58" s="24" t="n">
        <f aca="false">$D$28*$C$15*IF((H$35-$C$28)&lt;0,0,IF((H$35-$C$28)&gt;=7,1,INDEX(Drivers!$D$86:$J$86,(H$35-$C$28)+1)))*IF((H$35-$C$28)&lt;Drivers!$C$87,1,Drivers!$C$88*Drivers!$C$89^((H$35-$C$28)-Drivers!$C$87))*$E$28</f>
        <v>0.0315</v>
      </c>
      <c r="I58" s="24" t="n">
        <f aca="false">$D$28*$C$15*IF((I$35-$C$28)&lt;0,0,IF((I$35-$C$28)&gt;=7,1,INDEX(Drivers!$D$86:$J$86,(I$35-$C$28)+1)))*IF((I$35-$C$28)&lt;Drivers!$C$87,1,Drivers!$C$88*Drivers!$C$89^((I$35-$C$28)-Drivers!$C$87))*$E$28</f>
        <v>0.0567</v>
      </c>
      <c r="J58" s="24" t="n">
        <f aca="false">$D$28*$C$15*IF((J$35-$C$28)&lt;0,0,IF((J$35-$C$28)&gt;=7,1,INDEX(Drivers!$D$86:$J$86,(J$35-$C$28)+1)))*IF((J$35-$C$28)&lt;Drivers!$C$87,1,Drivers!$C$88*Drivers!$C$89^((J$35-$C$28)-Drivers!$C$87))*$E$28</f>
        <v>0.0819</v>
      </c>
      <c r="K58" s="24" t="n">
        <f aca="false">$D$28*$C$15*IF((K$35-$C$28)&lt;0,0,IF((K$35-$C$28)&gt;=7,1,INDEX(Drivers!$D$86:$J$86,(K$35-$C$28)+1)))*IF((K$35-$C$28)&lt;Drivers!$C$87,1,Drivers!$C$88*Drivers!$C$89^((K$35-$C$28)-Drivers!$C$87))*$E$28</f>
        <v>0.10332</v>
      </c>
      <c r="L58" s="24" t="n">
        <f aca="false">$D$28*$C$15*IF((L$35-$C$28)&lt;0,0,IF((L$35-$C$28)&gt;=7,1,INDEX(Drivers!$D$86:$J$86,(L$35-$C$28)+1)))*IF((L$35-$C$28)&lt;Drivers!$C$87,1,Drivers!$C$88*Drivers!$C$89^((L$35-$C$28)-Drivers!$C$87))*$E$28</f>
        <v>0.11718</v>
      </c>
      <c r="M58" s="24" t="n">
        <f aca="false">$D$28*$C$15*IF((M$35-$C$28)&lt;0,0,IF((M$35-$C$28)&gt;=7,1,INDEX(Drivers!$D$86:$J$86,(M$35-$C$28)+1)))*IF((M$35-$C$28)&lt;Drivers!$C$87,1,Drivers!$C$88*Drivers!$C$89^((M$35-$C$28)-Drivers!$C$87))*$E$28</f>
        <v>0.126</v>
      </c>
      <c r="N58" s="24" t="n">
        <f aca="false">$D$28*$C$15*IF((N$35-$C$28)&lt;0,0,IF((N$35-$C$28)&gt;=7,1,INDEX(Drivers!$D$86:$J$86,(N$35-$C$28)+1)))*IF((N$35-$C$28)&lt;Drivers!$C$87,1,Drivers!$C$88*Drivers!$C$89^((N$35-$C$28)-Drivers!$C$87))*$E$28</f>
        <v>0.126</v>
      </c>
      <c r="O58" s="24" t="n">
        <f aca="false">$D$28*$C$15*IF((O$35-$C$28)&lt;0,0,IF((O$35-$C$28)&gt;=7,1,INDEX(Drivers!$D$86:$J$86,(O$35-$C$28)+1)))*IF((O$35-$C$28)&lt;Drivers!$C$87,1,Drivers!$C$88*Drivers!$C$89^((O$35-$C$28)-Drivers!$C$87))*$E$28</f>
        <v>0.126</v>
      </c>
      <c r="P58" s="24" t="n">
        <f aca="false">$D$28*$C$15*IF((P$35-$C$28)&lt;0,0,IF((P$35-$C$28)&gt;=7,1,INDEX(Drivers!$D$86:$J$86,(P$35-$C$28)+1)))*IF((P$35-$C$28)&lt;Drivers!$C$87,1,Drivers!$C$88*Drivers!$C$89^((P$35-$C$28)-Drivers!$C$87))*$E$28</f>
        <v>0.126</v>
      </c>
      <c r="Q58" s="24" t="n">
        <f aca="false">$D$28*$C$15*IF((Q$35-$C$28)&lt;0,0,IF((Q$35-$C$28)&gt;=7,1,INDEX(Drivers!$D$86:$J$86,(Q$35-$C$28)+1)))*IF((Q$35-$C$28)&lt;Drivers!$C$87,1,Drivers!$C$88*Drivers!$C$89^((Q$35-$C$28)-Drivers!$C$87))*$E$28</f>
        <v>0.126</v>
      </c>
      <c r="R58" s="24" t="n">
        <f aca="false">$D$28*$C$15*IF((R$35-$C$28)&lt;0,0,IF((R$35-$C$28)&gt;=7,1,INDEX(Drivers!$D$86:$J$86,(R$35-$C$28)+1)))*IF((R$35-$C$28)&lt;Drivers!$C$87,1,Drivers!$C$88*Drivers!$C$89^((R$35-$C$28)-Drivers!$C$87))*$E$28</f>
        <v>0.126</v>
      </c>
      <c r="S58" s="24" t="n">
        <f aca="false">$D$28*$C$15*IF((S$35-$C$28)&lt;0,0,IF((S$35-$C$28)&gt;=7,1,INDEX(Drivers!$D$86:$J$86,(S$35-$C$28)+1)))*IF((S$35-$C$28)&lt;Drivers!$C$87,1,Drivers!$C$88*Drivers!$C$89^((S$35-$C$28)-Drivers!$C$87))*$E$28</f>
        <v>0.1008</v>
      </c>
      <c r="T58" s="24" t="n">
        <f aca="false">$D$28*$C$15*IF((T$35-$C$28)&lt;0,0,IF((T$35-$C$28)&gt;=7,1,INDEX(Drivers!$D$86:$J$86,(T$35-$C$28)+1)))*IF((T$35-$C$28)&lt;Drivers!$C$87,1,Drivers!$C$88*Drivers!$C$89^((T$35-$C$28)-Drivers!$C$87))*$E$28</f>
        <v>0.097776</v>
      </c>
      <c r="U58" s="24" t="n">
        <f aca="false">$D$28*$C$15*IF((U$35-$C$28)&lt;0,0,IF((U$35-$C$28)&gt;=7,1,INDEX(Drivers!$D$86:$J$86,(U$35-$C$28)+1)))*IF((U$35-$C$28)&lt;Drivers!$C$87,1,Drivers!$C$88*Drivers!$C$89^((U$35-$C$28)-Drivers!$C$87))*$E$28</f>
        <v>0.09484272</v>
      </c>
    </row>
    <row r="59" customFormat="false" ht="15" hidden="false" customHeight="false" outlineLevel="0" collapsed="false">
      <c r="A59" s="9" t="s">
        <v>348</v>
      </c>
      <c r="B59" s="35" t="s">
        <v>326</v>
      </c>
      <c r="C59" s="24" t="n">
        <f aca="false">$D$29*$C$15*IF((C$35-$C$29)&lt;0,0,IF((C$35-$C$29)&gt;=7,1,INDEX(Drivers!$D$86:$J$86,(C$35-$C$29)+1)))*IF((C$35-$C$29)&lt;Drivers!$C$87,1,Drivers!$C$88*Drivers!$C$89^((C$35-$C$29)-Drivers!$C$87))*$E$29</f>
        <v>0</v>
      </c>
      <c r="D59" s="24" t="n">
        <f aca="false">$D$29*$C$15*IF((D$35-$C$29)&lt;0,0,IF((D$35-$C$29)&gt;=7,1,INDEX(Drivers!$D$86:$J$86,(D$35-$C$29)+1)))*IF((D$35-$C$29)&lt;Drivers!$C$87,1,Drivers!$C$88*Drivers!$C$89^((D$35-$C$29)-Drivers!$C$87))*$E$29</f>
        <v>0</v>
      </c>
      <c r="E59" s="24" t="n">
        <f aca="false">$D$29*$C$15*IF((E$35-$C$29)&lt;0,0,IF((E$35-$C$29)&gt;=7,1,INDEX(Drivers!$D$86:$J$86,(E$35-$C$29)+1)))*IF((E$35-$C$29)&lt;Drivers!$C$87,1,Drivers!$C$88*Drivers!$C$89^((E$35-$C$29)-Drivers!$C$87))*$E$29</f>
        <v>0</v>
      </c>
      <c r="F59" s="24" t="n">
        <f aca="false">$D$29*$C$15*IF((F$35-$C$29)&lt;0,0,IF((F$35-$C$29)&gt;=7,1,INDEX(Drivers!$D$86:$J$86,(F$35-$C$29)+1)))*IF((F$35-$C$29)&lt;Drivers!$C$87,1,Drivers!$C$88*Drivers!$C$89^((F$35-$C$29)-Drivers!$C$87))*$E$29</f>
        <v>0</v>
      </c>
      <c r="G59" s="24" t="n">
        <f aca="false">$D$29*$C$15*IF((G$35-$C$29)&lt;0,0,IF((G$35-$C$29)&gt;=7,1,INDEX(Drivers!$D$86:$J$86,(G$35-$C$29)+1)))*IF((G$35-$C$29)&lt;Drivers!$C$87,1,Drivers!$C$88*Drivers!$C$89^((G$35-$C$29)-Drivers!$C$87))*$E$29</f>
        <v>0</v>
      </c>
      <c r="H59" s="24" t="n">
        <f aca="false">$D$29*$C$15*IF((H$35-$C$29)&lt;0,0,IF((H$35-$C$29)&gt;=7,1,INDEX(Drivers!$D$86:$J$86,(H$35-$C$29)+1)))*IF((H$35-$C$29)&lt;Drivers!$C$87,1,Drivers!$C$88*Drivers!$C$89^((H$35-$C$29)-Drivers!$C$87))*$E$29</f>
        <v>0</v>
      </c>
      <c r="I59" s="24" t="n">
        <f aca="false">$D$29*$C$15*IF((I$35-$C$29)&lt;0,0,IF((I$35-$C$29)&gt;=7,1,INDEX(Drivers!$D$86:$J$86,(I$35-$C$29)+1)))*IF((I$35-$C$29)&lt;Drivers!$C$87,1,Drivers!$C$88*Drivers!$C$89^((I$35-$C$29)-Drivers!$C$87))*$E$29</f>
        <v>0.00672</v>
      </c>
      <c r="J59" s="24" t="n">
        <f aca="false">$D$29*$C$15*IF((J$35-$C$29)&lt;0,0,IF((J$35-$C$29)&gt;=7,1,INDEX(Drivers!$D$86:$J$86,(J$35-$C$29)+1)))*IF((J$35-$C$29)&lt;Drivers!$C$87,1,Drivers!$C$88*Drivers!$C$89^((J$35-$C$29)-Drivers!$C$87))*$E$29</f>
        <v>0.021</v>
      </c>
      <c r="K59" s="24" t="n">
        <f aca="false">$D$29*$C$15*IF((K$35-$C$29)&lt;0,0,IF((K$35-$C$29)&gt;=7,1,INDEX(Drivers!$D$86:$J$86,(K$35-$C$29)+1)))*IF((K$35-$C$29)&lt;Drivers!$C$87,1,Drivers!$C$88*Drivers!$C$89^((K$35-$C$29)-Drivers!$C$87))*$E$29</f>
        <v>0.0378</v>
      </c>
      <c r="L59" s="24" t="n">
        <f aca="false">$D$29*$C$15*IF((L$35-$C$29)&lt;0,0,IF((L$35-$C$29)&gt;=7,1,INDEX(Drivers!$D$86:$J$86,(L$35-$C$29)+1)))*IF((L$35-$C$29)&lt;Drivers!$C$87,1,Drivers!$C$88*Drivers!$C$89^((L$35-$C$29)-Drivers!$C$87))*$E$29</f>
        <v>0.0546</v>
      </c>
      <c r="M59" s="24" t="n">
        <f aca="false">$D$29*$C$15*IF((M$35-$C$29)&lt;0,0,IF((M$35-$C$29)&gt;=7,1,INDEX(Drivers!$D$86:$J$86,(M$35-$C$29)+1)))*IF((M$35-$C$29)&lt;Drivers!$C$87,1,Drivers!$C$88*Drivers!$C$89^((M$35-$C$29)-Drivers!$C$87))*$E$29</f>
        <v>0.06888</v>
      </c>
      <c r="N59" s="24" t="n">
        <f aca="false">$D$29*$C$15*IF((N$35-$C$29)&lt;0,0,IF((N$35-$C$29)&gt;=7,1,INDEX(Drivers!$D$86:$J$86,(N$35-$C$29)+1)))*IF((N$35-$C$29)&lt;Drivers!$C$87,1,Drivers!$C$88*Drivers!$C$89^((N$35-$C$29)-Drivers!$C$87))*$E$29</f>
        <v>0.07812</v>
      </c>
      <c r="O59" s="24" t="n">
        <f aca="false">$D$29*$C$15*IF((O$35-$C$29)&lt;0,0,IF((O$35-$C$29)&gt;=7,1,INDEX(Drivers!$D$86:$J$86,(O$35-$C$29)+1)))*IF((O$35-$C$29)&lt;Drivers!$C$87,1,Drivers!$C$88*Drivers!$C$89^((O$35-$C$29)-Drivers!$C$87))*$E$29</f>
        <v>0.084</v>
      </c>
      <c r="P59" s="24" t="n">
        <f aca="false">$D$29*$C$15*IF((P$35-$C$29)&lt;0,0,IF((P$35-$C$29)&gt;=7,1,INDEX(Drivers!$D$86:$J$86,(P$35-$C$29)+1)))*IF((P$35-$C$29)&lt;Drivers!$C$87,1,Drivers!$C$88*Drivers!$C$89^((P$35-$C$29)-Drivers!$C$87))*$E$29</f>
        <v>0.084</v>
      </c>
      <c r="Q59" s="24" t="n">
        <f aca="false">$D$29*$C$15*IF((Q$35-$C$29)&lt;0,0,IF((Q$35-$C$29)&gt;=7,1,INDEX(Drivers!$D$86:$J$86,(Q$35-$C$29)+1)))*IF((Q$35-$C$29)&lt;Drivers!$C$87,1,Drivers!$C$88*Drivers!$C$89^((Q$35-$C$29)-Drivers!$C$87))*$E$29</f>
        <v>0.084</v>
      </c>
      <c r="R59" s="24" t="n">
        <f aca="false">$D$29*$C$15*IF((R$35-$C$29)&lt;0,0,IF((R$35-$C$29)&gt;=7,1,INDEX(Drivers!$D$86:$J$86,(R$35-$C$29)+1)))*IF((R$35-$C$29)&lt;Drivers!$C$87,1,Drivers!$C$88*Drivers!$C$89^((R$35-$C$29)-Drivers!$C$87))*$E$29</f>
        <v>0.084</v>
      </c>
      <c r="S59" s="24" t="n">
        <f aca="false">$D$29*$C$15*IF((S$35-$C$29)&lt;0,0,IF((S$35-$C$29)&gt;=7,1,INDEX(Drivers!$D$86:$J$86,(S$35-$C$29)+1)))*IF((S$35-$C$29)&lt;Drivers!$C$87,1,Drivers!$C$88*Drivers!$C$89^((S$35-$C$29)-Drivers!$C$87))*$E$29</f>
        <v>0.084</v>
      </c>
      <c r="T59" s="24" t="n">
        <f aca="false">$D$29*$C$15*IF((T$35-$C$29)&lt;0,0,IF((T$35-$C$29)&gt;=7,1,INDEX(Drivers!$D$86:$J$86,(T$35-$C$29)+1)))*IF((T$35-$C$29)&lt;Drivers!$C$87,1,Drivers!$C$88*Drivers!$C$89^((T$35-$C$29)-Drivers!$C$87))*$E$29</f>
        <v>0.084</v>
      </c>
      <c r="U59" s="24" t="n">
        <f aca="false">$D$29*$C$15*IF((U$35-$C$29)&lt;0,0,IF((U$35-$C$29)&gt;=7,1,INDEX(Drivers!$D$86:$J$86,(U$35-$C$29)+1)))*IF((U$35-$C$29)&lt;Drivers!$C$87,1,Drivers!$C$88*Drivers!$C$89^((U$35-$C$29)-Drivers!$C$87))*$E$29</f>
        <v>0.0672</v>
      </c>
    </row>
    <row r="60" customFormat="false" ht="15" hidden="false" customHeight="false" outlineLevel="0" collapsed="false">
      <c r="A60" s="9" t="s">
        <v>349</v>
      </c>
      <c r="B60" s="35" t="s">
        <v>326</v>
      </c>
      <c r="C60" s="24" t="n">
        <f aca="false">$D$30*$C$15*IF((C$35-$C$30)&lt;0,0,IF((C$35-$C$30)&gt;=7,1,INDEX(Drivers!$D$86:$J$86,(C$35-$C$30)+1)))*IF((C$35-$C$30)&lt;Drivers!$C$87,1,Drivers!$C$88*Drivers!$C$89^((C$35-$C$30)-Drivers!$C$87))*$E$30</f>
        <v>0</v>
      </c>
      <c r="D60" s="24" t="n">
        <f aca="false">$D$30*$C$15*IF((D$35-$C$30)&lt;0,0,IF((D$35-$C$30)&gt;=7,1,INDEX(Drivers!$D$86:$J$86,(D$35-$C$30)+1)))*IF((D$35-$C$30)&lt;Drivers!$C$87,1,Drivers!$C$88*Drivers!$C$89^((D$35-$C$30)-Drivers!$C$87))*$E$30</f>
        <v>0</v>
      </c>
      <c r="E60" s="24" t="n">
        <f aca="false">$D$30*$C$15*IF((E$35-$C$30)&lt;0,0,IF((E$35-$C$30)&gt;=7,1,INDEX(Drivers!$D$86:$J$86,(E$35-$C$30)+1)))*IF((E$35-$C$30)&lt;Drivers!$C$87,1,Drivers!$C$88*Drivers!$C$89^((E$35-$C$30)-Drivers!$C$87))*$E$30</f>
        <v>0</v>
      </c>
      <c r="F60" s="24" t="n">
        <f aca="false">$D$30*$C$15*IF((F$35-$C$30)&lt;0,0,IF((F$35-$C$30)&gt;=7,1,INDEX(Drivers!$D$86:$J$86,(F$35-$C$30)+1)))*IF((F$35-$C$30)&lt;Drivers!$C$87,1,Drivers!$C$88*Drivers!$C$89^((F$35-$C$30)-Drivers!$C$87))*$E$30</f>
        <v>0</v>
      </c>
      <c r="G60" s="24" t="n">
        <f aca="false">$D$30*$C$15*IF((G$35-$C$30)&lt;0,0,IF((G$35-$C$30)&gt;=7,1,INDEX(Drivers!$D$86:$J$86,(G$35-$C$30)+1)))*IF((G$35-$C$30)&lt;Drivers!$C$87,1,Drivers!$C$88*Drivers!$C$89^((G$35-$C$30)-Drivers!$C$87))*$E$30</f>
        <v>0</v>
      </c>
      <c r="H60" s="24" t="n">
        <f aca="false">$D$30*$C$15*IF((H$35-$C$30)&lt;0,0,IF((H$35-$C$30)&gt;=7,1,INDEX(Drivers!$D$86:$J$86,(H$35-$C$30)+1)))*IF((H$35-$C$30)&lt;Drivers!$C$87,1,Drivers!$C$88*Drivers!$C$89^((H$35-$C$30)-Drivers!$C$87))*$E$30</f>
        <v>0</v>
      </c>
      <c r="I60" s="24" t="n">
        <f aca="false">$D$30*$C$15*IF((I$35-$C$30)&lt;0,0,IF((I$35-$C$30)&gt;=7,1,INDEX(Drivers!$D$86:$J$86,(I$35-$C$30)+1)))*IF((I$35-$C$30)&lt;Drivers!$C$87,1,Drivers!$C$88*Drivers!$C$89^((I$35-$C$30)-Drivers!$C$87))*$E$30</f>
        <v>0</v>
      </c>
      <c r="J60" s="24" t="n">
        <f aca="false">$D$30*$C$15*IF((J$35-$C$30)&lt;0,0,IF((J$35-$C$30)&gt;=7,1,INDEX(Drivers!$D$86:$J$86,(J$35-$C$30)+1)))*IF((J$35-$C$30)&lt;Drivers!$C$87,1,Drivers!$C$88*Drivers!$C$89^((J$35-$C$30)-Drivers!$C$87))*$E$30</f>
        <v>0.00504</v>
      </c>
      <c r="K60" s="24" t="n">
        <f aca="false">$D$30*$C$15*IF((K$35-$C$30)&lt;0,0,IF((K$35-$C$30)&gt;=7,1,INDEX(Drivers!$D$86:$J$86,(K$35-$C$30)+1)))*IF((K$35-$C$30)&lt;Drivers!$C$87,1,Drivers!$C$88*Drivers!$C$89^((K$35-$C$30)-Drivers!$C$87))*$E$30</f>
        <v>0.01575</v>
      </c>
      <c r="L60" s="24" t="n">
        <f aca="false">$D$30*$C$15*IF((L$35-$C$30)&lt;0,0,IF((L$35-$C$30)&gt;=7,1,INDEX(Drivers!$D$86:$J$86,(L$35-$C$30)+1)))*IF((L$35-$C$30)&lt;Drivers!$C$87,1,Drivers!$C$88*Drivers!$C$89^((L$35-$C$30)-Drivers!$C$87))*$E$30</f>
        <v>0.02835</v>
      </c>
      <c r="M60" s="24" t="n">
        <f aca="false">$D$30*$C$15*IF((M$35-$C$30)&lt;0,0,IF((M$35-$C$30)&gt;=7,1,INDEX(Drivers!$D$86:$J$86,(M$35-$C$30)+1)))*IF((M$35-$C$30)&lt;Drivers!$C$87,1,Drivers!$C$88*Drivers!$C$89^((M$35-$C$30)-Drivers!$C$87))*$E$30</f>
        <v>0.04095</v>
      </c>
      <c r="N60" s="24" t="n">
        <f aca="false">$D$30*$C$15*IF((N$35-$C$30)&lt;0,0,IF((N$35-$C$30)&gt;=7,1,INDEX(Drivers!$D$86:$J$86,(N$35-$C$30)+1)))*IF((N$35-$C$30)&lt;Drivers!$C$87,1,Drivers!$C$88*Drivers!$C$89^((N$35-$C$30)-Drivers!$C$87))*$E$30</f>
        <v>0.05166</v>
      </c>
      <c r="O60" s="24" t="n">
        <f aca="false">$D$30*$C$15*IF((O$35-$C$30)&lt;0,0,IF((O$35-$C$30)&gt;=7,1,INDEX(Drivers!$D$86:$J$86,(O$35-$C$30)+1)))*IF((O$35-$C$30)&lt;Drivers!$C$87,1,Drivers!$C$88*Drivers!$C$89^((O$35-$C$30)-Drivers!$C$87))*$E$30</f>
        <v>0.05859</v>
      </c>
      <c r="P60" s="24" t="n">
        <f aca="false">$D$30*$C$15*IF((P$35-$C$30)&lt;0,0,IF((P$35-$C$30)&gt;=7,1,INDEX(Drivers!$D$86:$J$86,(P$35-$C$30)+1)))*IF((P$35-$C$30)&lt;Drivers!$C$87,1,Drivers!$C$88*Drivers!$C$89^((P$35-$C$30)-Drivers!$C$87))*$E$30</f>
        <v>0.063</v>
      </c>
      <c r="Q60" s="24" t="n">
        <f aca="false">$D$30*$C$15*IF((Q$35-$C$30)&lt;0,0,IF((Q$35-$C$30)&gt;=7,1,INDEX(Drivers!$D$86:$J$86,(Q$35-$C$30)+1)))*IF((Q$35-$C$30)&lt;Drivers!$C$87,1,Drivers!$C$88*Drivers!$C$89^((Q$35-$C$30)-Drivers!$C$87))*$E$30</f>
        <v>0.063</v>
      </c>
      <c r="R60" s="24" t="n">
        <f aca="false">$D$30*$C$15*IF((R$35-$C$30)&lt;0,0,IF((R$35-$C$30)&gt;=7,1,INDEX(Drivers!$D$86:$J$86,(R$35-$C$30)+1)))*IF((R$35-$C$30)&lt;Drivers!$C$87,1,Drivers!$C$88*Drivers!$C$89^((R$35-$C$30)-Drivers!$C$87))*$E$30</f>
        <v>0.063</v>
      </c>
      <c r="S60" s="24" t="n">
        <f aca="false">$D$30*$C$15*IF((S$35-$C$30)&lt;0,0,IF((S$35-$C$30)&gt;=7,1,INDEX(Drivers!$D$86:$J$86,(S$35-$C$30)+1)))*IF((S$35-$C$30)&lt;Drivers!$C$87,1,Drivers!$C$88*Drivers!$C$89^((S$35-$C$30)-Drivers!$C$87))*$E$30</f>
        <v>0.063</v>
      </c>
      <c r="T60" s="24" t="n">
        <f aca="false">$D$30*$C$15*IF((T$35-$C$30)&lt;0,0,IF((T$35-$C$30)&gt;=7,1,INDEX(Drivers!$D$86:$J$86,(T$35-$C$30)+1)))*IF((T$35-$C$30)&lt;Drivers!$C$87,1,Drivers!$C$88*Drivers!$C$89^((T$35-$C$30)-Drivers!$C$87))*$E$30</f>
        <v>0.063</v>
      </c>
      <c r="U60" s="24" t="n">
        <f aca="false">$D$30*$C$15*IF((U$35-$C$30)&lt;0,0,IF((U$35-$C$30)&gt;=7,1,INDEX(Drivers!$D$86:$J$86,(U$35-$C$30)+1)))*IF((U$35-$C$30)&lt;Drivers!$C$87,1,Drivers!$C$88*Drivers!$C$89^((U$35-$C$30)-Drivers!$C$87))*$E$30</f>
        <v>0.063</v>
      </c>
    </row>
    <row r="61" customFormat="false" ht="15" hidden="false" customHeight="false" outlineLevel="0" collapsed="false">
      <c r="A61" s="9" t="s">
        <v>350</v>
      </c>
      <c r="B61" s="35" t="s">
        <v>326</v>
      </c>
      <c r="C61" s="24" t="n">
        <f aca="false">$D$31*$C$15*IF((C$35-$C$31)&lt;0,0,IF((C$35-$C$31)&gt;=7,1,INDEX(Drivers!$D$86:$J$86,(C$35-$C$31)+1)))*IF((C$35-$C$31)&lt;Drivers!$C$87,1,Drivers!$C$88*Drivers!$C$89^((C$35-$C$31)-Drivers!$C$87))*$E$31</f>
        <v>0</v>
      </c>
      <c r="D61" s="24" t="n">
        <f aca="false">$D$31*$C$15*IF((D$35-$C$31)&lt;0,0,IF((D$35-$C$31)&gt;=7,1,INDEX(Drivers!$D$86:$J$86,(D$35-$C$31)+1)))*IF((D$35-$C$31)&lt;Drivers!$C$87,1,Drivers!$C$88*Drivers!$C$89^((D$35-$C$31)-Drivers!$C$87))*$E$31</f>
        <v>0</v>
      </c>
      <c r="E61" s="24" t="n">
        <f aca="false">$D$31*$C$15*IF((E$35-$C$31)&lt;0,0,IF((E$35-$C$31)&gt;=7,1,INDEX(Drivers!$D$86:$J$86,(E$35-$C$31)+1)))*IF((E$35-$C$31)&lt;Drivers!$C$87,1,Drivers!$C$88*Drivers!$C$89^((E$35-$C$31)-Drivers!$C$87))*$E$31</f>
        <v>0</v>
      </c>
      <c r="F61" s="24" t="n">
        <f aca="false">$D$31*$C$15*IF((F$35-$C$31)&lt;0,0,IF((F$35-$C$31)&gt;=7,1,INDEX(Drivers!$D$86:$J$86,(F$35-$C$31)+1)))*IF((F$35-$C$31)&lt;Drivers!$C$87,1,Drivers!$C$88*Drivers!$C$89^((F$35-$C$31)-Drivers!$C$87))*$E$31</f>
        <v>0</v>
      </c>
      <c r="G61" s="24" t="n">
        <f aca="false">$D$31*$C$15*IF((G$35-$C$31)&lt;0,0,IF((G$35-$C$31)&gt;=7,1,INDEX(Drivers!$D$86:$J$86,(G$35-$C$31)+1)))*IF((G$35-$C$31)&lt;Drivers!$C$87,1,Drivers!$C$88*Drivers!$C$89^((G$35-$C$31)-Drivers!$C$87))*$E$31</f>
        <v>0.005376</v>
      </c>
      <c r="H61" s="24" t="n">
        <f aca="false">$D$31*$C$15*IF((H$35-$C$31)&lt;0,0,IF((H$35-$C$31)&gt;=7,1,INDEX(Drivers!$D$86:$J$86,(H$35-$C$31)+1)))*IF((H$35-$C$31)&lt;Drivers!$C$87,1,Drivers!$C$88*Drivers!$C$89^((H$35-$C$31)-Drivers!$C$87))*$E$31</f>
        <v>0.0168</v>
      </c>
      <c r="I61" s="24" t="n">
        <f aca="false">$D$31*$C$15*IF((I$35-$C$31)&lt;0,0,IF((I$35-$C$31)&gt;=7,1,INDEX(Drivers!$D$86:$J$86,(I$35-$C$31)+1)))*IF((I$35-$C$31)&lt;Drivers!$C$87,1,Drivers!$C$88*Drivers!$C$89^((I$35-$C$31)-Drivers!$C$87))*$E$31</f>
        <v>0.03024</v>
      </c>
      <c r="J61" s="24" t="n">
        <f aca="false">$D$31*$C$15*IF((J$35-$C$31)&lt;0,0,IF((J$35-$C$31)&gt;=7,1,INDEX(Drivers!$D$86:$J$86,(J$35-$C$31)+1)))*IF((J$35-$C$31)&lt;Drivers!$C$87,1,Drivers!$C$88*Drivers!$C$89^((J$35-$C$31)-Drivers!$C$87))*$E$31</f>
        <v>0.04368</v>
      </c>
      <c r="K61" s="24" t="n">
        <f aca="false">$D$31*$C$15*IF((K$35-$C$31)&lt;0,0,IF((K$35-$C$31)&gt;=7,1,INDEX(Drivers!$D$86:$J$86,(K$35-$C$31)+1)))*IF((K$35-$C$31)&lt;Drivers!$C$87,1,Drivers!$C$88*Drivers!$C$89^((K$35-$C$31)-Drivers!$C$87))*$E$31</f>
        <v>0.055104</v>
      </c>
      <c r="L61" s="24" t="n">
        <f aca="false">$D$31*$C$15*IF((L$35-$C$31)&lt;0,0,IF((L$35-$C$31)&gt;=7,1,INDEX(Drivers!$D$86:$J$86,(L$35-$C$31)+1)))*IF((L$35-$C$31)&lt;Drivers!$C$87,1,Drivers!$C$88*Drivers!$C$89^((L$35-$C$31)-Drivers!$C$87))*$E$31</f>
        <v>0.062496</v>
      </c>
      <c r="M61" s="24" t="n">
        <f aca="false">$D$31*$C$15*IF((M$35-$C$31)&lt;0,0,IF((M$35-$C$31)&gt;=7,1,INDEX(Drivers!$D$86:$J$86,(M$35-$C$31)+1)))*IF((M$35-$C$31)&lt;Drivers!$C$87,1,Drivers!$C$88*Drivers!$C$89^((M$35-$C$31)-Drivers!$C$87))*$E$31</f>
        <v>0.0672</v>
      </c>
      <c r="N61" s="24" t="n">
        <f aca="false">$D$31*$C$15*IF((N$35-$C$31)&lt;0,0,IF((N$35-$C$31)&gt;=7,1,INDEX(Drivers!$D$86:$J$86,(N$35-$C$31)+1)))*IF((N$35-$C$31)&lt;Drivers!$C$87,1,Drivers!$C$88*Drivers!$C$89^((N$35-$C$31)-Drivers!$C$87))*$E$31</f>
        <v>0.0672</v>
      </c>
      <c r="O61" s="24" t="n">
        <f aca="false">$D$31*$C$15*IF((O$35-$C$31)&lt;0,0,IF((O$35-$C$31)&gt;=7,1,INDEX(Drivers!$D$86:$J$86,(O$35-$C$31)+1)))*IF((O$35-$C$31)&lt;Drivers!$C$87,1,Drivers!$C$88*Drivers!$C$89^((O$35-$C$31)-Drivers!$C$87))*$E$31</f>
        <v>0.0672</v>
      </c>
      <c r="P61" s="24" t="n">
        <f aca="false">$D$31*$C$15*IF((P$35-$C$31)&lt;0,0,IF((P$35-$C$31)&gt;=7,1,INDEX(Drivers!$D$86:$J$86,(P$35-$C$31)+1)))*IF((P$35-$C$31)&lt;Drivers!$C$87,1,Drivers!$C$88*Drivers!$C$89^((P$35-$C$31)-Drivers!$C$87))*$E$31</f>
        <v>0.0672</v>
      </c>
      <c r="Q61" s="24" t="n">
        <f aca="false">$D$31*$C$15*IF((Q$35-$C$31)&lt;0,0,IF((Q$35-$C$31)&gt;=7,1,INDEX(Drivers!$D$86:$J$86,(Q$35-$C$31)+1)))*IF((Q$35-$C$31)&lt;Drivers!$C$87,1,Drivers!$C$88*Drivers!$C$89^((Q$35-$C$31)-Drivers!$C$87))*$E$31</f>
        <v>0.0672</v>
      </c>
      <c r="R61" s="24" t="n">
        <f aca="false">$D$31*$C$15*IF((R$35-$C$31)&lt;0,0,IF((R$35-$C$31)&gt;=7,1,INDEX(Drivers!$D$86:$J$86,(R$35-$C$31)+1)))*IF((R$35-$C$31)&lt;Drivers!$C$87,1,Drivers!$C$88*Drivers!$C$89^((R$35-$C$31)-Drivers!$C$87))*$E$31</f>
        <v>0.0672</v>
      </c>
      <c r="S61" s="24" t="n">
        <f aca="false">$D$31*$C$15*IF((S$35-$C$31)&lt;0,0,IF((S$35-$C$31)&gt;=7,1,INDEX(Drivers!$D$86:$J$86,(S$35-$C$31)+1)))*IF((S$35-$C$31)&lt;Drivers!$C$87,1,Drivers!$C$88*Drivers!$C$89^((S$35-$C$31)-Drivers!$C$87))*$E$31</f>
        <v>0.05376</v>
      </c>
      <c r="T61" s="24" t="n">
        <f aca="false">$D$31*$C$15*IF((T$35-$C$31)&lt;0,0,IF((T$35-$C$31)&gt;=7,1,INDEX(Drivers!$D$86:$J$86,(T$35-$C$31)+1)))*IF((T$35-$C$31)&lt;Drivers!$C$87,1,Drivers!$C$88*Drivers!$C$89^((T$35-$C$31)-Drivers!$C$87))*$E$31</f>
        <v>0.0521472</v>
      </c>
      <c r="U61" s="24" t="n">
        <f aca="false">$D$31*$C$15*IF((U$35-$C$31)&lt;0,0,IF((U$35-$C$31)&gt;=7,1,INDEX(Drivers!$D$86:$J$86,(U$35-$C$31)+1)))*IF((U$35-$C$31)&lt;Drivers!$C$87,1,Drivers!$C$88*Drivers!$C$89^((U$35-$C$31)-Drivers!$C$87))*$E$31</f>
        <v>0.050582784</v>
      </c>
    </row>
    <row r="62" customFormat="false" ht="15" hidden="false" customHeight="false" outlineLevel="0" collapsed="false">
      <c r="A62" s="9" t="s">
        <v>351</v>
      </c>
      <c r="B62" s="35" t="s">
        <v>326</v>
      </c>
      <c r="C62" s="24" t="n">
        <f aca="false">$D$32*$C$15*IF((C$35-$C$32)&lt;0,0,IF((C$35-$C$32)&gt;=7,1,INDEX(Drivers!$D$86:$J$86,(C$35-$C$32)+1)))*IF((C$35-$C$32)&lt;Drivers!$C$87,1,Drivers!$C$88*Drivers!$C$89^((C$35-$C$32)-Drivers!$C$87))*$E$32</f>
        <v>0</v>
      </c>
      <c r="D62" s="24" t="n">
        <f aca="false">$D$32*$C$15*IF((D$35-$C$32)&lt;0,0,IF((D$35-$C$32)&gt;=7,1,INDEX(Drivers!$D$86:$J$86,(D$35-$C$32)+1)))*IF((D$35-$C$32)&lt;Drivers!$C$87,1,Drivers!$C$88*Drivers!$C$89^((D$35-$C$32)-Drivers!$C$87))*$E$32</f>
        <v>0</v>
      </c>
      <c r="E62" s="24" t="n">
        <f aca="false">$D$32*$C$15*IF((E$35-$C$32)&lt;0,0,IF((E$35-$C$32)&gt;=7,1,INDEX(Drivers!$D$86:$J$86,(E$35-$C$32)+1)))*IF((E$35-$C$32)&lt;Drivers!$C$87,1,Drivers!$C$88*Drivers!$C$89^((E$35-$C$32)-Drivers!$C$87))*$E$32</f>
        <v>0</v>
      </c>
      <c r="F62" s="24" t="n">
        <f aca="false">$D$32*$C$15*IF((F$35-$C$32)&lt;0,0,IF((F$35-$C$32)&gt;=7,1,INDEX(Drivers!$D$86:$J$86,(F$35-$C$32)+1)))*IF((F$35-$C$32)&lt;Drivers!$C$87,1,Drivers!$C$88*Drivers!$C$89^((F$35-$C$32)-Drivers!$C$87))*$E$32</f>
        <v>0</v>
      </c>
      <c r="G62" s="24" t="n">
        <f aca="false">$D$32*$C$15*IF((G$35-$C$32)&lt;0,0,IF((G$35-$C$32)&gt;=7,1,INDEX(Drivers!$D$86:$J$86,(G$35-$C$32)+1)))*IF((G$35-$C$32)&lt;Drivers!$C$87,1,Drivers!$C$88*Drivers!$C$89^((G$35-$C$32)-Drivers!$C$87))*$E$32</f>
        <v>0</v>
      </c>
      <c r="H62" s="24" t="n">
        <f aca="false">$D$32*$C$15*IF((H$35-$C$32)&lt;0,0,IF((H$35-$C$32)&gt;=7,1,INDEX(Drivers!$D$86:$J$86,(H$35-$C$32)+1)))*IF((H$35-$C$32)&lt;Drivers!$C$87,1,Drivers!$C$88*Drivers!$C$89^((H$35-$C$32)-Drivers!$C$87))*$E$32</f>
        <v>0.006048</v>
      </c>
      <c r="I62" s="24" t="n">
        <f aca="false">$D$32*$C$15*IF((I$35-$C$32)&lt;0,0,IF((I$35-$C$32)&gt;=7,1,INDEX(Drivers!$D$86:$J$86,(I$35-$C$32)+1)))*IF((I$35-$C$32)&lt;Drivers!$C$87,1,Drivers!$C$88*Drivers!$C$89^((I$35-$C$32)-Drivers!$C$87))*$E$32</f>
        <v>0.0189</v>
      </c>
      <c r="J62" s="24" t="n">
        <f aca="false">$D$32*$C$15*IF((J$35-$C$32)&lt;0,0,IF((J$35-$C$32)&gt;=7,1,INDEX(Drivers!$D$86:$J$86,(J$35-$C$32)+1)))*IF((J$35-$C$32)&lt;Drivers!$C$87,1,Drivers!$C$88*Drivers!$C$89^((J$35-$C$32)-Drivers!$C$87))*$E$32</f>
        <v>0.03402</v>
      </c>
      <c r="K62" s="24" t="n">
        <f aca="false">$D$32*$C$15*IF((K$35-$C$32)&lt;0,0,IF((K$35-$C$32)&gt;=7,1,INDEX(Drivers!$D$86:$J$86,(K$35-$C$32)+1)))*IF((K$35-$C$32)&lt;Drivers!$C$87,1,Drivers!$C$88*Drivers!$C$89^((K$35-$C$32)-Drivers!$C$87))*$E$32</f>
        <v>0.04914</v>
      </c>
      <c r="L62" s="24" t="n">
        <f aca="false">$D$32*$C$15*IF((L$35-$C$32)&lt;0,0,IF((L$35-$C$32)&gt;=7,1,INDEX(Drivers!$D$86:$J$86,(L$35-$C$32)+1)))*IF((L$35-$C$32)&lt;Drivers!$C$87,1,Drivers!$C$88*Drivers!$C$89^((L$35-$C$32)-Drivers!$C$87))*$E$32</f>
        <v>0.061992</v>
      </c>
      <c r="M62" s="24" t="n">
        <f aca="false">$D$32*$C$15*IF((M$35-$C$32)&lt;0,0,IF((M$35-$C$32)&gt;=7,1,INDEX(Drivers!$D$86:$J$86,(M$35-$C$32)+1)))*IF((M$35-$C$32)&lt;Drivers!$C$87,1,Drivers!$C$88*Drivers!$C$89^((M$35-$C$32)-Drivers!$C$87))*$E$32</f>
        <v>0.070308</v>
      </c>
      <c r="N62" s="24" t="n">
        <f aca="false">$D$32*$C$15*IF((N$35-$C$32)&lt;0,0,IF((N$35-$C$32)&gt;=7,1,INDEX(Drivers!$D$86:$J$86,(N$35-$C$32)+1)))*IF((N$35-$C$32)&lt;Drivers!$C$87,1,Drivers!$C$88*Drivers!$C$89^((N$35-$C$32)-Drivers!$C$87))*$E$32</f>
        <v>0.0756</v>
      </c>
      <c r="O62" s="24" t="n">
        <f aca="false">$D$32*$C$15*IF((O$35-$C$32)&lt;0,0,IF((O$35-$C$32)&gt;=7,1,INDEX(Drivers!$D$86:$J$86,(O$35-$C$32)+1)))*IF((O$35-$C$32)&lt;Drivers!$C$87,1,Drivers!$C$88*Drivers!$C$89^((O$35-$C$32)-Drivers!$C$87))*$E$32</f>
        <v>0.0756</v>
      </c>
      <c r="P62" s="24" t="n">
        <f aca="false">$D$32*$C$15*IF((P$35-$C$32)&lt;0,0,IF((P$35-$C$32)&gt;=7,1,INDEX(Drivers!$D$86:$J$86,(P$35-$C$32)+1)))*IF((P$35-$C$32)&lt;Drivers!$C$87,1,Drivers!$C$88*Drivers!$C$89^((P$35-$C$32)-Drivers!$C$87))*$E$32</f>
        <v>0.0756</v>
      </c>
      <c r="Q62" s="24" t="n">
        <f aca="false">$D$32*$C$15*IF((Q$35-$C$32)&lt;0,0,IF((Q$35-$C$32)&gt;=7,1,INDEX(Drivers!$D$86:$J$86,(Q$35-$C$32)+1)))*IF((Q$35-$C$32)&lt;Drivers!$C$87,1,Drivers!$C$88*Drivers!$C$89^((Q$35-$C$32)-Drivers!$C$87))*$E$32</f>
        <v>0.0756</v>
      </c>
      <c r="R62" s="24" t="n">
        <f aca="false">$D$32*$C$15*IF((R$35-$C$32)&lt;0,0,IF((R$35-$C$32)&gt;=7,1,INDEX(Drivers!$D$86:$J$86,(R$35-$C$32)+1)))*IF((R$35-$C$32)&lt;Drivers!$C$87,1,Drivers!$C$88*Drivers!$C$89^((R$35-$C$32)-Drivers!$C$87))*$E$32</f>
        <v>0.0756</v>
      </c>
      <c r="S62" s="24" t="n">
        <f aca="false">$D$32*$C$15*IF((S$35-$C$32)&lt;0,0,IF((S$35-$C$32)&gt;=7,1,INDEX(Drivers!$D$86:$J$86,(S$35-$C$32)+1)))*IF((S$35-$C$32)&lt;Drivers!$C$87,1,Drivers!$C$88*Drivers!$C$89^((S$35-$C$32)-Drivers!$C$87))*$E$32</f>
        <v>0.0756</v>
      </c>
      <c r="T62" s="24" t="n">
        <f aca="false">$D$32*$C$15*IF((T$35-$C$32)&lt;0,0,IF((T$35-$C$32)&gt;=7,1,INDEX(Drivers!$D$86:$J$86,(T$35-$C$32)+1)))*IF((T$35-$C$32)&lt;Drivers!$C$87,1,Drivers!$C$88*Drivers!$C$89^((T$35-$C$32)-Drivers!$C$87))*$E$32</f>
        <v>0.06048</v>
      </c>
      <c r="U62" s="24" t="n">
        <f aca="false">$D$32*$C$15*IF((U$35-$C$32)&lt;0,0,IF((U$35-$C$32)&gt;=7,1,INDEX(Drivers!$D$86:$J$86,(U$35-$C$32)+1)))*IF((U$35-$C$32)&lt;Drivers!$C$87,1,Drivers!$C$88*Drivers!$C$89^((U$35-$C$32)-Drivers!$C$87))*$E$32</f>
        <v>0.0586656</v>
      </c>
    </row>
    <row r="63" customFormat="false" ht="15" hidden="false" customHeight="false" outlineLevel="0" collapsed="false">
      <c r="A63" s="9" t="s">
        <v>352</v>
      </c>
      <c r="B63" s="35" t="s">
        <v>326</v>
      </c>
      <c r="C63" s="24" t="n">
        <f aca="false">$D$33*$C$15*IF((C$35-$C$33)&lt;0,0,IF((C$35-$C$33)&gt;=7,1,INDEX(Drivers!$D$86:$J$86,(C$35-$C$33)+1)))*IF((C$35-$C$33)&lt;Drivers!$C$87,1,Drivers!$C$88*Drivers!$C$89^((C$35-$C$33)-Drivers!$C$87))*$E$33</f>
        <v>0</v>
      </c>
      <c r="D63" s="24" t="n">
        <f aca="false">$D$33*$C$15*IF((D$35-$C$33)&lt;0,0,IF((D$35-$C$33)&gt;=7,1,INDEX(Drivers!$D$86:$J$86,(D$35-$C$33)+1)))*IF((D$35-$C$33)&lt;Drivers!$C$87,1,Drivers!$C$88*Drivers!$C$89^((D$35-$C$33)-Drivers!$C$87))*$E$33</f>
        <v>0</v>
      </c>
      <c r="E63" s="24" t="n">
        <f aca="false">$D$33*$C$15*IF((E$35-$C$33)&lt;0,0,IF((E$35-$C$33)&gt;=7,1,INDEX(Drivers!$D$86:$J$86,(E$35-$C$33)+1)))*IF((E$35-$C$33)&lt;Drivers!$C$87,1,Drivers!$C$88*Drivers!$C$89^((E$35-$C$33)-Drivers!$C$87))*$E$33</f>
        <v>0</v>
      </c>
      <c r="F63" s="24" t="n">
        <f aca="false">$D$33*$C$15*IF((F$35-$C$33)&lt;0,0,IF((F$35-$C$33)&gt;=7,1,INDEX(Drivers!$D$86:$J$86,(F$35-$C$33)+1)))*IF((F$35-$C$33)&lt;Drivers!$C$87,1,Drivers!$C$88*Drivers!$C$89^((F$35-$C$33)-Drivers!$C$87))*$E$33</f>
        <v>0</v>
      </c>
      <c r="G63" s="24" t="n">
        <f aca="false">$D$33*$C$15*IF((G$35-$C$33)&lt;0,0,IF((G$35-$C$33)&gt;=7,1,INDEX(Drivers!$D$86:$J$86,(G$35-$C$33)+1)))*IF((G$35-$C$33)&lt;Drivers!$C$87,1,Drivers!$C$88*Drivers!$C$89^((G$35-$C$33)-Drivers!$C$87))*$E$33</f>
        <v>0</v>
      </c>
      <c r="H63" s="24" t="n">
        <f aca="false">$D$33*$C$15*IF((H$35-$C$33)&lt;0,0,IF((H$35-$C$33)&gt;=7,1,INDEX(Drivers!$D$86:$J$86,(H$35-$C$33)+1)))*IF((H$35-$C$33)&lt;Drivers!$C$87,1,Drivers!$C$88*Drivers!$C$89^((H$35-$C$33)-Drivers!$C$87))*$E$33</f>
        <v>0</v>
      </c>
      <c r="I63" s="24" t="n">
        <f aca="false">$D$33*$C$15*IF((I$35-$C$33)&lt;0,0,IF((I$35-$C$33)&gt;=7,1,INDEX(Drivers!$D$86:$J$86,(I$35-$C$33)+1)))*IF((I$35-$C$33)&lt;Drivers!$C$87,1,Drivers!$C$88*Drivers!$C$89^((I$35-$C$33)-Drivers!$C$87))*$E$33</f>
        <v>0</v>
      </c>
      <c r="J63" s="24" t="n">
        <f aca="false">$D$33*$C$15*IF((J$35-$C$33)&lt;0,0,IF((J$35-$C$33)&gt;=7,1,INDEX(Drivers!$D$86:$J$86,(J$35-$C$33)+1)))*IF((J$35-$C$33)&lt;Drivers!$C$87,1,Drivers!$C$88*Drivers!$C$89^((J$35-$C$33)-Drivers!$C$87))*$E$33</f>
        <v>0</v>
      </c>
      <c r="K63" s="24" t="n">
        <f aca="false">$D$33*$C$15*IF((K$35-$C$33)&lt;0,0,IF((K$35-$C$33)&gt;=7,1,INDEX(Drivers!$D$86:$J$86,(K$35-$C$33)+1)))*IF((K$35-$C$33)&lt;Drivers!$C$87,1,Drivers!$C$88*Drivers!$C$89^((K$35-$C$33)-Drivers!$C$87))*$E$33</f>
        <v>0.02016</v>
      </c>
      <c r="L63" s="24" t="n">
        <f aca="false">$D$33*$C$15*IF((L$35-$C$33)&lt;0,0,IF((L$35-$C$33)&gt;=7,1,INDEX(Drivers!$D$86:$J$86,(L$35-$C$33)+1)))*IF((L$35-$C$33)&lt;Drivers!$C$87,1,Drivers!$C$88*Drivers!$C$89^((L$35-$C$33)-Drivers!$C$87))*$E$33</f>
        <v>0.063</v>
      </c>
      <c r="M63" s="24" t="n">
        <f aca="false">$D$33*$C$15*IF((M$35-$C$33)&lt;0,0,IF((M$35-$C$33)&gt;=7,1,INDEX(Drivers!$D$86:$J$86,(M$35-$C$33)+1)))*IF((M$35-$C$33)&lt;Drivers!$C$87,1,Drivers!$C$88*Drivers!$C$89^((M$35-$C$33)-Drivers!$C$87))*$E$33</f>
        <v>0.1134</v>
      </c>
      <c r="N63" s="24" t="n">
        <f aca="false">$D$33*$C$15*IF((N$35-$C$33)&lt;0,0,IF((N$35-$C$33)&gt;=7,1,INDEX(Drivers!$D$86:$J$86,(N$35-$C$33)+1)))*IF((N$35-$C$33)&lt;Drivers!$C$87,1,Drivers!$C$88*Drivers!$C$89^((N$35-$C$33)-Drivers!$C$87))*$E$33</f>
        <v>0.1638</v>
      </c>
      <c r="O63" s="24" t="n">
        <f aca="false">$D$33*$C$15*IF((O$35-$C$33)&lt;0,0,IF((O$35-$C$33)&gt;=7,1,INDEX(Drivers!$D$86:$J$86,(O$35-$C$33)+1)))*IF((O$35-$C$33)&lt;Drivers!$C$87,1,Drivers!$C$88*Drivers!$C$89^((O$35-$C$33)-Drivers!$C$87))*$E$33</f>
        <v>0.20664</v>
      </c>
      <c r="P63" s="24" t="n">
        <f aca="false">$D$33*$C$15*IF((P$35-$C$33)&lt;0,0,IF((P$35-$C$33)&gt;=7,1,INDEX(Drivers!$D$86:$J$86,(P$35-$C$33)+1)))*IF((P$35-$C$33)&lt;Drivers!$C$87,1,Drivers!$C$88*Drivers!$C$89^((P$35-$C$33)-Drivers!$C$87))*$E$33</f>
        <v>0.23436</v>
      </c>
      <c r="Q63" s="24" t="n">
        <f aca="false">$D$33*$C$15*IF((Q$35-$C$33)&lt;0,0,IF((Q$35-$C$33)&gt;=7,1,INDEX(Drivers!$D$86:$J$86,(Q$35-$C$33)+1)))*IF((Q$35-$C$33)&lt;Drivers!$C$87,1,Drivers!$C$88*Drivers!$C$89^((Q$35-$C$33)-Drivers!$C$87))*$E$33</f>
        <v>0.252</v>
      </c>
      <c r="R63" s="24" t="n">
        <f aca="false">$D$33*$C$15*IF((R$35-$C$33)&lt;0,0,IF((R$35-$C$33)&gt;=7,1,INDEX(Drivers!$D$86:$J$86,(R$35-$C$33)+1)))*IF((R$35-$C$33)&lt;Drivers!$C$87,1,Drivers!$C$88*Drivers!$C$89^((R$35-$C$33)-Drivers!$C$87))*$E$33</f>
        <v>0.252</v>
      </c>
      <c r="S63" s="24" t="n">
        <f aca="false">$D$33*$C$15*IF((S$35-$C$33)&lt;0,0,IF((S$35-$C$33)&gt;=7,1,INDEX(Drivers!$D$86:$J$86,(S$35-$C$33)+1)))*IF((S$35-$C$33)&lt;Drivers!$C$87,1,Drivers!$C$88*Drivers!$C$89^((S$35-$C$33)-Drivers!$C$87))*$E$33</f>
        <v>0.252</v>
      </c>
      <c r="T63" s="24" t="n">
        <f aca="false">$D$33*$C$15*IF((T$35-$C$33)&lt;0,0,IF((T$35-$C$33)&gt;=7,1,INDEX(Drivers!$D$86:$J$86,(T$35-$C$33)+1)))*IF((T$35-$C$33)&lt;Drivers!$C$87,1,Drivers!$C$88*Drivers!$C$89^((T$35-$C$33)-Drivers!$C$87))*$E$33</f>
        <v>0.252</v>
      </c>
      <c r="U63" s="24" t="n">
        <f aca="false">$D$33*$C$15*IF((U$35-$C$33)&lt;0,0,IF((U$35-$C$33)&gt;=7,1,INDEX(Drivers!$D$86:$J$86,(U$35-$C$33)+1)))*IF((U$35-$C$33)&lt;Drivers!$C$87,1,Drivers!$C$88*Drivers!$C$89^((U$35-$C$33)-Drivers!$C$87))*$E$33</f>
        <v>0.252</v>
      </c>
    </row>
    <row r="64" customFormat="false" ht="15" hidden="false" customHeight="false" outlineLevel="0" collapsed="false">
      <c r="A64" s="3" t="s">
        <v>353</v>
      </c>
      <c r="B64" s="35" t="s">
        <v>326</v>
      </c>
      <c r="C64" s="29" t="n">
        <f aca="false">SUM(C54:C63)</f>
        <v>0</v>
      </c>
      <c r="D64" s="29" t="n">
        <f aca="false">SUM(D54:D63)</f>
        <v>0.0765</v>
      </c>
      <c r="E64" s="29" t="n">
        <f aca="false">SUM(E54:E63)</f>
        <v>0.2390625</v>
      </c>
      <c r="F64" s="29" t="n">
        <f aca="false">SUM(F54:F63)</f>
        <v>0.4303125</v>
      </c>
      <c r="G64" s="29" t="n">
        <f aca="false">SUM(G54:G63)</f>
        <v>0.6974985</v>
      </c>
      <c r="H64" s="29" t="n">
        <f aca="false">SUM(H54:H63)</f>
        <v>1.027473</v>
      </c>
      <c r="I64" s="29" t="n">
        <f aca="false">SUM(I54:I63)</f>
        <v>1.3420725</v>
      </c>
      <c r="J64" s="29" t="n">
        <f aca="false">SUM(J54:J63)</f>
        <v>1.65345</v>
      </c>
      <c r="K64" s="29" t="n">
        <f aca="false">SUM(K54:K63)</f>
        <v>1.949844</v>
      </c>
      <c r="L64" s="29" t="n">
        <f aca="false">SUM(L54:L63)</f>
        <v>2.252223</v>
      </c>
      <c r="M64" s="29" t="n">
        <f aca="false">SUM(M54:M63)</f>
        <v>2.528163</v>
      </c>
      <c r="N64" s="29" t="n">
        <f aca="false">SUM(N54:N63)</f>
        <v>2.720145</v>
      </c>
      <c r="O64" s="29" t="n">
        <f aca="false">SUM(O54:O63)</f>
        <v>2.86599</v>
      </c>
      <c r="P64" s="29" t="n">
        <f aca="false">SUM(P54:P63)</f>
        <v>2.764935</v>
      </c>
      <c r="Q64" s="29" t="n">
        <f aca="false">SUM(Q54:Q63)</f>
        <v>2.78535</v>
      </c>
      <c r="R64" s="29" t="n">
        <f aca="false">SUM(R54:R63)</f>
        <v>2.7630885</v>
      </c>
      <c r="S64" s="29" t="n">
        <f aca="false">SUM(S54:S63)</f>
        <v>2.551654845</v>
      </c>
      <c r="T64" s="29" t="n">
        <f aca="false">SUM(T54:T63)</f>
        <v>2.49280819965</v>
      </c>
      <c r="U64" s="29" t="n">
        <f aca="false">SUM(U54:U63)</f>
        <v>2.4317789536605</v>
      </c>
    </row>
    <row r="65" customFormat="false" ht="15" hidden="false" customHeight="false" outlineLevel="0" collapsed="false">
      <c r="A65" s="9" t="s">
        <v>354</v>
      </c>
      <c r="B65" s="35" t="s">
        <v>334</v>
      </c>
      <c r="C65" s="11" t="n">
        <f aca="false">IF((C$35-$C$24)&lt;0,0,Drivers!$C$90+($C$16-Drivers!$C$90)*MIN((C$35-$C$24)/Drivers!$C$91,1))</f>
        <v>0</v>
      </c>
      <c r="D65" s="11" t="n">
        <f aca="false">IF((D$35-$C$24)&lt;0,0,Drivers!$C$90+($C$16-Drivers!$C$90)*MIN((D$35-$C$24)/Drivers!$C$91,1))</f>
        <v>0.2</v>
      </c>
      <c r="E65" s="11" t="n">
        <f aca="false">IF((E$35-$C$24)&lt;0,0,Drivers!$C$90+($C$16-Drivers!$C$90)*MIN((E$35-$C$24)/Drivers!$C$91,1))</f>
        <v>0.27</v>
      </c>
      <c r="F65" s="11" t="n">
        <f aca="false">IF((F$35-$C$24)&lt;0,0,Drivers!$C$90+($C$16-Drivers!$C$90)*MIN((F$35-$C$24)/Drivers!$C$91,1))</f>
        <v>0.34</v>
      </c>
      <c r="G65" s="11" t="n">
        <f aca="false">IF((G$35-$C$24)&lt;0,0,Drivers!$C$90+($C$16-Drivers!$C$90)*MIN((G$35-$C$24)/Drivers!$C$91,1))</f>
        <v>0.41</v>
      </c>
      <c r="H65" s="11" t="n">
        <f aca="false">IF((H$35-$C$24)&lt;0,0,Drivers!$C$90+($C$16-Drivers!$C$90)*MIN((H$35-$C$24)/Drivers!$C$91,1))</f>
        <v>0.48</v>
      </c>
      <c r="I65" s="11" t="n">
        <f aca="false">IF((I$35-$C$24)&lt;0,0,Drivers!$C$90+($C$16-Drivers!$C$90)*MIN((I$35-$C$24)/Drivers!$C$91,1))</f>
        <v>0.55</v>
      </c>
      <c r="J65" s="11" t="n">
        <f aca="false">IF((J$35-$C$24)&lt;0,0,Drivers!$C$90+($C$16-Drivers!$C$90)*MIN((J$35-$C$24)/Drivers!$C$91,1))</f>
        <v>0.55</v>
      </c>
      <c r="K65" s="11" t="n">
        <f aca="false">IF((K$35-$C$24)&lt;0,0,Drivers!$C$90+($C$16-Drivers!$C$90)*MIN((K$35-$C$24)/Drivers!$C$91,1))</f>
        <v>0.55</v>
      </c>
      <c r="L65" s="11" t="n">
        <f aca="false">IF((L$35-$C$24)&lt;0,0,Drivers!$C$90+($C$16-Drivers!$C$90)*MIN((L$35-$C$24)/Drivers!$C$91,1))</f>
        <v>0.55</v>
      </c>
      <c r="M65" s="11" t="n">
        <f aca="false">IF((M$35-$C$24)&lt;0,0,Drivers!$C$90+($C$16-Drivers!$C$90)*MIN((M$35-$C$24)/Drivers!$C$91,1))</f>
        <v>0.55</v>
      </c>
      <c r="N65" s="11" t="n">
        <f aca="false">IF((N$35-$C$24)&lt;0,0,Drivers!$C$90+($C$16-Drivers!$C$90)*MIN((N$35-$C$24)/Drivers!$C$91,1))</f>
        <v>0.55</v>
      </c>
      <c r="O65" s="11" t="n">
        <f aca="false">IF((O$35-$C$24)&lt;0,0,Drivers!$C$90+($C$16-Drivers!$C$90)*MIN((O$35-$C$24)/Drivers!$C$91,1))</f>
        <v>0.55</v>
      </c>
      <c r="P65" s="11" t="n">
        <f aca="false">IF((P$35-$C$24)&lt;0,0,Drivers!$C$90+($C$16-Drivers!$C$90)*MIN((P$35-$C$24)/Drivers!$C$91,1))</f>
        <v>0.55</v>
      </c>
      <c r="Q65" s="11" t="n">
        <f aca="false">IF((Q$35-$C$24)&lt;0,0,Drivers!$C$90+($C$16-Drivers!$C$90)*MIN((Q$35-$C$24)/Drivers!$C$91,1))</f>
        <v>0.55</v>
      </c>
      <c r="R65" s="11" t="n">
        <f aca="false">IF((R$35-$C$24)&lt;0,0,Drivers!$C$90+($C$16-Drivers!$C$90)*MIN((R$35-$C$24)/Drivers!$C$91,1))</f>
        <v>0.55</v>
      </c>
      <c r="S65" s="11" t="n">
        <f aca="false">IF((S$35-$C$24)&lt;0,0,Drivers!$C$90+($C$16-Drivers!$C$90)*MIN((S$35-$C$24)/Drivers!$C$91,1))</f>
        <v>0.55</v>
      </c>
      <c r="T65" s="11" t="n">
        <f aca="false">IF((T$35-$C$24)&lt;0,0,Drivers!$C$90+($C$16-Drivers!$C$90)*MIN((T$35-$C$24)/Drivers!$C$91,1))</f>
        <v>0.55</v>
      </c>
      <c r="U65" s="11" t="n">
        <f aca="false">IF((U$35-$C$24)&lt;0,0,Drivers!$C$90+($C$16-Drivers!$C$90)*MIN((U$35-$C$24)/Drivers!$C$91,1))</f>
        <v>0.55</v>
      </c>
    </row>
    <row r="66" customFormat="false" ht="15" hidden="false" customHeight="false" outlineLevel="0" collapsed="false">
      <c r="A66" s="9" t="s">
        <v>355</v>
      </c>
      <c r="B66" s="35" t="s">
        <v>326</v>
      </c>
      <c r="C66" s="24" t="n">
        <f aca="false">Drivers!$C$85*C64*C65</f>
        <v>0</v>
      </c>
      <c r="D66" s="24" t="n">
        <f aca="false">Drivers!$C$85*D64*D65</f>
        <v>0.00765</v>
      </c>
      <c r="E66" s="24" t="n">
        <f aca="false">Drivers!$C$85*E64*E65</f>
        <v>0.0322734375</v>
      </c>
      <c r="F66" s="24" t="n">
        <f aca="false">Drivers!$C$85*F64*F65</f>
        <v>0.073153125</v>
      </c>
      <c r="G66" s="24" t="n">
        <f aca="false">Drivers!$C$85*G64*G65</f>
        <v>0.1429871925</v>
      </c>
      <c r="H66" s="24" t="n">
        <f aca="false">Drivers!$C$85*H64*H65</f>
        <v>0.24659352</v>
      </c>
      <c r="I66" s="24" t="n">
        <f aca="false">Drivers!$C$85*I64*I65</f>
        <v>0.3690699375</v>
      </c>
      <c r="J66" s="24" t="n">
        <f aca="false">Drivers!$C$85*J64*J65</f>
        <v>0.45469875</v>
      </c>
      <c r="K66" s="24" t="n">
        <f aca="false">Drivers!$C$85*K64*K65</f>
        <v>0.5362071</v>
      </c>
      <c r="L66" s="24" t="n">
        <f aca="false">Drivers!$C$85*L64*L65</f>
        <v>0.619361325</v>
      </c>
      <c r="M66" s="24" t="n">
        <f aca="false">Drivers!$C$85*M64*M65</f>
        <v>0.695244825</v>
      </c>
      <c r="N66" s="24" t="n">
        <f aca="false">Drivers!$C$85*N64*N65</f>
        <v>0.748039875</v>
      </c>
      <c r="O66" s="24" t="n">
        <f aca="false">Drivers!$C$85*O64*O65</f>
        <v>0.78814725</v>
      </c>
      <c r="P66" s="24" t="n">
        <f aca="false">Drivers!$C$85*P64*P65</f>
        <v>0.760357125</v>
      </c>
      <c r="Q66" s="24" t="n">
        <f aca="false">Drivers!$C$85*Q64*Q65</f>
        <v>0.76597125</v>
      </c>
      <c r="R66" s="24" t="n">
        <f aca="false">Drivers!$C$85*R64*R65</f>
        <v>0.7598493375</v>
      </c>
      <c r="S66" s="24" t="n">
        <f aca="false">Drivers!$C$85*S64*S65</f>
        <v>0.701705082375</v>
      </c>
      <c r="T66" s="24" t="n">
        <f aca="false">Drivers!$C$85*T64*T65</f>
        <v>0.68552225490375</v>
      </c>
      <c r="U66" s="24" t="n">
        <f aca="false">Drivers!$C$85*U64*U65</f>
        <v>0.668739212256638</v>
      </c>
    </row>
    <row r="67" customFormat="false" ht="15" hidden="false" customHeight="false" outlineLevel="0" collapsed="false">
      <c r="A67" s="9" t="s">
        <v>356</v>
      </c>
      <c r="B67" s="35" t="s">
        <v>326</v>
      </c>
      <c r="C67" s="24" t="n">
        <f aca="false">Drivers!$D$92</f>
        <v>0.4</v>
      </c>
      <c r="D67" s="24" t="n">
        <f aca="false">Drivers!$E$92</f>
        <v>0.4</v>
      </c>
      <c r="E67" s="24" t="n">
        <f aca="false">Drivers!$F$92</f>
        <v>0.4</v>
      </c>
      <c r="F67" s="24" t="n">
        <f aca="false">Drivers!$G$92</f>
        <v>0.4</v>
      </c>
      <c r="G67" s="24" t="n">
        <f aca="false">Drivers!$H$92</f>
        <v>0.35</v>
      </c>
      <c r="H67" s="24" t="n">
        <f aca="false">Drivers!$I$92</f>
        <v>0.35</v>
      </c>
      <c r="I67" s="24" t="n">
        <f aca="false">Drivers!$J$92</f>
        <v>0.3</v>
      </c>
      <c r="J67" s="24" t="n">
        <f aca="false">Drivers!$K$92</f>
        <v>0.25</v>
      </c>
      <c r="K67" s="24" t="n">
        <f aca="false">Drivers!$C$93</f>
        <v>0.2</v>
      </c>
      <c r="L67" s="24" t="n">
        <f aca="false">Drivers!$C$93</f>
        <v>0.2</v>
      </c>
      <c r="M67" s="24" t="n">
        <f aca="false">Drivers!$C$93</f>
        <v>0.2</v>
      </c>
      <c r="N67" s="24" t="n">
        <f aca="false">Drivers!$C$93</f>
        <v>0.2</v>
      </c>
      <c r="O67" s="24" t="n">
        <f aca="false">Drivers!$C$93</f>
        <v>0.2</v>
      </c>
      <c r="P67" s="24" t="n">
        <f aca="false">Drivers!$C$93</f>
        <v>0.2</v>
      </c>
      <c r="Q67" s="24" t="n">
        <f aca="false">Drivers!$C$93</f>
        <v>0.2</v>
      </c>
      <c r="R67" s="24" t="n">
        <f aca="false">Drivers!$C$93</f>
        <v>0.2</v>
      </c>
      <c r="S67" s="24" t="n">
        <f aca="false">Drivers!$C$93</f>
        <v>0.2</v>
      </c>
      <c r="T67" s="24" t="n">
        <f aca="false">Drivers!$C$93</f>
        <v>0.2</v>
      </c>
      <c r="U67" s="24" t="n">
        <f aca="false">Drivers!$C$93</f>
        <v>0.2</v>
      </c>
    </row>
    <row r="68" customFormat="false" ht="15" hidden="false" customHeight="false" outlineLevel="0" collapsed="false">
      <c r="A68" s="3" t="s">
        <v>357</v>
      </c>
      <c r="B68" s="35" t="s">
        <v>326</v>
      </c>
      <c r="C68" s="29" t="n">
        <f aca="false">C66-C67</f>
        <v>-0.4</v>
      </c>
      <c r="D68" s="29" t="n">
        <f aca="false">D66-D67</f>
        <v>-0.39235</v>
      </c>
      <c r="E68" s="29" t="n">
        <f aca="false">E66-E67</f>
        <v>-0.3677265625</v>
      </c>
      <c r="F68" s="29" t="n">
        <f aca="false">F66-F67</f>
        <v>-0.326846875</v>
      </c>
      <c r="G68" s="29" t="n">
        <f aca="false">G66-G67</f>
        <v>-0.2070128075</v>
      </c>
      <c r="H68" s="29" t="n">
        <f aca="false">H66-H67</f>
        <v>-0.10340648</v>
      </c>
      <c r="I68" s="29" t="n">
        <f aca="false">I66-I67</f>
        <v>0.0690699375000001</v>
      </c>
      <c r="J68" s="29" t="n">
        <f aca="false">J66-J67</f>
        <v>0.20469875</v>
      </c>
      <c r="K68" s="29" t="n">
        <f aca="false">K66-K67</f>
        <v>0.3362071</v>
      </c>
      <c r="L68" s="29" t="n">
        <f aca="false">L66-L67</f>
        <v>0.419361325</v>
      </c>
      <c r="M68" s="29" t="n">
        <f aca="false">M66-M67</f>
        <v>0.495244825</v>
      </c>
      <c r="N68" s="29" t="n">
        <f aca="false">N66-N67</f>
        <v>0.548039875</v>
      </c>
      <c r="O68" s="29" t="n">
        <f aca="false">O66-O67</f>
        <v>0.58814725</v>
      </c>
      <c r="P68" s="29" t="n">
        <f aca="false">P66-P67</f>
        <v>0.560357125</v>
      </c>
      <c r="Q68" s="29" t="n">
        <f aca="false">Q66-Q67</f>
        <v>0.56597125</v>
      </c>
      <c r="R68" s="29" t="n">
        <f aca="false">R66-R67</f>
        <v>0.5598493375</v>
      </c>
      <c r="S68" s="29" t="n">
        <f aca="false">S66-S67</f>
        <v>0.501705082375</v>
      </c>
      <c r="T68" s="29" t="n">
        <f aca="false">T66-T67</f>
        <v>0.48552225490375</v>
      </c>
      <c r="U68" s="29" t="n">
        <f aca="false">U66-U67</f>
        <v>0.468739212256638</v>
      </c>
    </row>
    <row r="69" customFormat="false" ht="15" hidden="false" customHeight="false" outlineLevel="0" collapsed="false">
      <c r="A69" s="3" t="s">
        <v>358</v>
      </c>
    </row>
    <row r="70" customFormat="false" ht="15" hidden="false" customHeight="false" outlineLevel="0" collapsed="false">
      <c r="A70" s="9" t="s">
        <v>359</v>
      </c>
      <c r="B70" s="35" t="s">
        <v>326</v>
      </c>
      <c r="C70" s="24" t="n">
        <f aca="false">Drivers!$C$107*Drivers!$C$108*IF((C$35-Drivers!$C$109)&lt;0,0,IF((C$35-Drivers!$C$109)&gt;=7,1,INDEX(Drivers!$D$86:$J$86,(C$35-Drivers!$C$109)+1)))*IF((C$35-Drivers!$C$109)&lt;Drivers!$C$87,1,Drivers!$C$88*Drivers!$C$89^((C$35-Drivers!$C$109)-Drivers!$C$87))</f>
        <v>0</v>
      </c>
      <c r="D70" s="24" t="n">
        <f aca="false">Drivers!$C$107*Drivers!$C$108*IF((D$35-Drivers!$C$109)&lt;0,0,IF((D$35-Drivers!$C$109)&gt;=7,1,INDEX(Drivers!$D$86:$J$86,(D$35-Drivers!$C$109)+1)))*IF((D$35-Drivers!$C$109)&lt;Drivers!$C$87,1,Drivers!$C$88*Drivers!$C$89^((D$35-Drivers!$C$109)-Drivers!$C$87))</f>
        <v>0</v>
      </c>
      <c r="E70" s="24" t="n">
        <f aca="false">Drivers!$C$107*Drivers!$C$108*IF((E$35-Drivers!$C$109)&lt;0,0,IF((E$35-Drivers!$C$109)&gt;=7,1,INDEX(Drivers!$D$86:$J$86,(E$35-Drivers!$C$109)+1)))*IF((E$35-Drivers!$C$109)&lt;Drivers!$C$87,1,Drivers!$C$88*Drivers!$C$89^((E$35-Drivers!$C$109)-Drivers!$C$87))</f>
        <v>0</v>
      </c>
      <c r="F70" s="24" t="n">
        <f aca="false">Drivers!$C$107*Drivers!$C$108*IF((F$35-Drivers!$C$109)&lt;0,0,IF((F$35-Drivers!$C$109)&gt;=7,1,INDEX(Drivers!$D$86:$J$86,(F$35-Drivers!$C$109)+1)))*IF((F$35-Drivers!$C$109)&lt;Drivers!$C$87,1,Drivers!$C$88*Drivers!$C$89^((F$35-Drivers!$C$109)-Drivers!$C$87))</f>
        <v>0</v>
      </c>
      <c r="G70" s="24" t="n">
        <f aca="false">Drivers!$C$107*Drivers!$C$108*IF((G$35-Drivers!$C$109)&lt;0,0,IF((G$35-Drivers!$C$109)&gt;=7,1,INDEX(Drivers!$D$86:$J$86,(G$35-Drivers!$C$109)+1)))*IF((G$35-Drivers!$C$109)&lt;Drivers!$C$87,1,Drivers!$C$88*Drivers!$C$89^((G$35-Drivers!$C$109)-Drivers!$C$87))</f>
        <v>0.016</v>
      </c>
      <c r="H70" s="24" t="n">
        <f aca="false">Drivers!$C$107*Drivers!$C$108*IF((H$35-Drivers!$C$109)&lt;0,0,IF((H$35-Drivers!$C$109)&gt;=7,1,INDEX(Drivers!$D$86:$J$86,(H$35-Drivers!$C$109)+1)))*IF((H$35-Drivers!$C$109)&lt;Drivers!$C$87,1,Drivers!$C$88*Drivers!$C$89^((H$35-Drivers!$C$109)-Drivers!$C$87))</f>
        <v>0.05</v>
      </c>
      <c r="I70" s="24" t="n">
        <f aca="false">Drivers!$C$107*Drivers!$C$108*IF((I$35-Drivers!$C$109)&lt;0,0,IF((I$35-Drivers!$C$109)&gt;=7,1,INDEX(Drivers!$D$86:$J$86,(I$35-Drivers!$C$109)+1)))*IF((I$35-Drivers!$C$109)&lt;Drivers!$C$87,1,Drivers!$C$88*Drivers!$C$89^((I$35-Drivers!$C$109)-Drivers!$C$87))</f>
        <v>0.09</v>
      </c>
      <c r="J70" s="24" t="n">
        <f aca="false">Drivers!$C$107*Drivers!$C$108*IF((J$35-Drivers!$C$109)&lt;0,0,IF((J$35-Drivers!$C$109)&gt;=7,1,INDEX(Drivers!$D$86:$J$86,(J$35-Drivers!$C$109)+1)))*IF((J$35-Drivers!$C$109)&lt;Drivers!$C$87,1,Drivers!$C$88*Drivers!$C$89^((J$35-Drivers!$C$109)-Drivers!$C$87))</f>
        <v>0.13</v>
      </c>
      <c r="K70" s="24" t="n">
        <f aca="false">Drivers!$C$107*Drivers!$C$108*IF((K$35-Drivers!$C$109)&lt;0,0,IF((K$35-Drivers!$C$109)&gt;=7,1,INDEX(Drivers!$D$86:$J$86,(K$35-Drivers!$C$109)+1)))*IF((K$35-Drivers!$C$109)&lt;Drivers!$C$87,1,Drivers!$C$88*Drivers!$C$89^((K$35-Drivers!$C$109)-Drivers!$C$87))</f>
        <v>0.164</v>
      </c>
      <c r="L70" s="24" t="n">
        <f aca="false">Drivers!$C$107*Drivers!$C$108*IF((L$35-Drivers!$C$109)&lt;0,0,IF((L$35-Drivers!$C$109)&gt;=7,1,INDEX(Drivers!$D$86:$J$86,(L$35-Drivers!$C$109)+1)))*IF((L$35-Drivers!$C$109)&lt;Drivers!$C$87,1,Drivers!$C$88*Drivers!$C$89^((L$35-Drivers!$C$109)-Drivers!$C$87))</f>
        <v>0.186</v>
      </c>
      <c r="M70" s="24" t="n">
        <f aca="false">Drivers!$C$107*Drivers!$C$108*IF((M$35-Drivers!$C$109)&lt;0,0,IF((M$35-Drivers!$C$109)&gt;=7,1,INDEX(Drivers!$D$86:$J$86,(M$35-Drivers!$C$109)+1)))*IF((M$35-Drivers!$C$109)&lt;Drivers!$C$87,1,Drivers!$C$88*Drivers!$C$89^((M$35-Drivers!$C$109)-Drivers!$C$87))</f>
        <v>0.2</v>
      </c>
      <c r="N70" s="24" t="n">
        <f aca="false">Drivers!$C$107*Drivers!$C$108*IF((N$35-Drivers!$C$109)&lt;0,0,IF((N$35-Drivers!$C$109)&gt;=7,1,INDEX(Drivers!$D$86:$J$86,(N$35-Drivers!$C$109)+1)))*IF((N$35-Drivers!$C$109)&lt;Drivers!$C$87,1,Drivers!$C$88*Drivers!$C$89^((N$35-Drivers!$C$109)-Drivers!$C$87))</f>
        <v>0.2</v>
      </c>
      <c r="O70" s="24" t="n">
        <f aca="false">Drivers!$C$107*Drivers!$C$108*IF((O$35-Drivers!$C$109)&lt;0,0,IF((O$35-Drivers!$C$109)&gt;=7,1,INDEX(Drivers!$D$86:$J$86,(O$35-Drivers!$C$109)+1)))*IF((O$35-Drivers!$C$109)&lt;Drivers!$C$87,1,Drivers!$C$88*Drivers!$C$89^((O$35-Drivers!$C$109)-Drivers!$C$87))</f>
        <v>0.2</v>
      </c>
      <c r="P70" s="24" t="n">
        <f aca="false">Drivers!$C$107*Drivers!$C$108*IF((P$35-Drivers!$C$109)&lt;0,0,IF((P$35-Drivers!$C$109)&gt;=7,1,INDEX(Drivers!$D$86:$J$86,(P$35-Drivers!$C$109)+1)))*IF((P$35-Drivers!$C$109)&lt;Drivers!$C$87,1,Drivers!$C$88*Drivers!$C$89^((P$35-Drivers!$C$109)-Drivers!$C$87))</f>
        <v>0.2</v>
      </c>
      <c r="Q70" s="24" t="n">
        <f aca="false">Drivers!$C$107*Drivers!$C$108*IF((Q$35-Drivers!$C$109)&lt;0,0,IF((Q$35-Drivers!$C$109)&gt;=7,1,INDEX(Drivers!$D$86:$J$86,(Q$35-Drivers!$C$109)+1)))*IF((Q$35-Drivers!$C$109)&lt;Drivers!$C$87,1,Drivers!$C$88*Drivers!$C$89^((Q$35-Drivers!$C$109)-Drivers!$C$87))</f>
        <v>0.2</v>
      </c>
      <c r="R70" s="24" t="n">
        <f aca="false">Drivers!$C$107*Drivers!$C$108*IF((R$35-Drivers!$C$109)&lt;0,0,IF((R$35-Drivers!$C$109)&gt;=7,1,INDEX(Drivers!$D$86:$J$86,(R$35-Drivers!$C$109)+1)))*IF((R$35-Drivers!$C$109)&lt;Drivers!$C$87,1,Drivers!$C$88*Drivers!$C$89^((R$35-Drivers!$C$109)-Drivers!$C$87))</f>
        <v>0.2</v>
      </c>
      <c r="S70" s="24" t="n">
        <f aca="false">Drivers!$C$107*Drivers!$C$108*IF((S$35-Drivers!$C$109)&lt;0,0,IF((S$35-Drivers!$C$109)&gt;=7,1,INDEX(Drivers!$D$86:$J$86,(S$35-Drivers!$C$109)+1)))*IF((S$35-Drivers!$C$109)&lt;Drivers!$C$87,1,Drivers!$C$88*Drivers!$C$89^((S$35-Drivers!$C$109)-Drivers!$C$87))</f>
        <v>0.16</v>
      </c>
      <c r="T70" s="24" t="n">
        <f aca="false">Drivers!$C$107*Drivers!$C$108*IF((T$35-Drivers!$C$109)&lt;0,0,IF((T$35-Drivers!$C$109)&gt;=7,1,INDEX(Drivers!$D$86:$J$86,(T$35-Drivers!$C$109)+1)))*IF((T$35-Drivers!$C$109)&lt;Drivers!$C$87,1,Drivers!$C$88*Drivers!$C$89^((T$35-Drivers!$C$109)-Drivers!$C$87))</f>
        <v>0.1552</v>
      </c>
      <c r="U70" s="24" t="n">
        <f aca="false">Drivers!$C$107*Drivers!$C$108*IF((U$35-Drivers!$C$109)&lt;0,0,IF((U$35-Drivers!$C$109)&gt;=7,1,INDEX(Drivers!$D$86:$J$86,(U$35-Drivers!$C$109)+1)))*IF((U$35-Drivers!$C$109)&lt;Drivers!$C$87,1,Drivers!$C$88*Drivers!$C$89^((U$35-Drivers!$C$109)-Drivers!$C$87))</f>
        <v>0.150544</v>
      </c>
    </row>
    <row r="71" customFormat="false" ht="15" hidden="false" customHeight="false" outlineLevel="0" collapsed="false">
      <c r="A71" s="9" t="s">
        <v>360</v>
      </c>
      <c r="B71" s="35" t="s">
        <v>326</v>
      </c>
      <c r="C71" s="24" t="n">
        <f aca="false">Drivers!$D$111</f>
        <v>0.12</v>
      </c>
      <c r="D71" s="24" t="n">
        <f aca="false">Drivers!$E$111+Drivers!$C$112*Drivers!$C$113/3</f>
        <v>0.190833333333333</v>
      </c>
      <c r="E71" s="24" t="n">
        <f aca="false">Drivers!$F$111+Drivers!$C$112*Drivers!$C$113/3</f>
        <v>0.190833333333333</v>
      </c>
      <c r="F71" s="24" t="n">
        <f aca="false">Drivers!$G$111+Drivers!$C$112*Drivers!$C$113/3</f>
        <v>0.140833333333333</v>
      </c>
      <c r="G71" s="24" t="n">
        <f aca="false">Drivers!$H$111</f>
        <v>0.08</v>
      </c>
      <c r="H71" s="24" t="n">
        <f aca="false">0</f>
        <v>0</v>
      </c>
      <c r="I71" s="24" t="n">
        <f aca="false">0</f>
        <v>0</v>
      </c>
      <c r="J71" s="24" t="n">
        <f aca="false">0</f>
        <v>0</v>
      </c>
      <c r="K71" s="24" t="n">
        <f aca="false">0</f>
        <v>0</v>
      </c>
      <c r="L71" s="24" t="n">
        <f aca="false">0</f>
        <v>0</v>
      </c>
      <c r="M71" s="24" t="n">
        <f aca="false">0</f>
        <v>0</v>
      </c>
      <c r="N71" s="24" t="n">
        <f aca="false">0</f>
        <v>0</v>
      </c>
      <c r="O71" s="24" t="n">
        <f aca="false">0</f>
        <v>0</v>
      </c>
      <c r="P71" s="24" t="n">
        <f aca="false">0</f>
        <v>0</v>
      </c>
      <c r="Q71" s="24" t="n">
        <f aca="false">0</f>
        <v>0</v>
      </c>
      <c r="R71" s="24" t="n">
        <f aca="false">0</f>
        <v>0</v>
      </c>
      <c r="S71" s="24" t="n">
        <f aca="false">0</f>
        <v>0</v>
      </c>
      <c r="T71" s="24" t="n">
        <f aca="false">0</f>
        <v>0</v>
      </c>
      <c r="U71" s="24" t="n">
        <f aca="false">0</f>
        <v>0</v>
      </c>
    </row>
    <row r="72" customFormat="false" ht="15" hidden="false" customHeight="false" outlineLevel="0" collapsed="false">
      <c r="A72" s="3" t="s">
        <v>361</v>
      </c>
      <c r="B72" s="35" t="s">
        <v>326</v>
      </c>
      <c r="C72" s="29" t="n">
        <f aca="false">C70*IF((C$35-Drivers!$C$109)&lt;0,0,0.1+(Drivers!$C$110-0.1)*MIN((C$35-Drivers!$C$109)/5,1))-C71</f>
        <v>-0.12</v>
      </c>
      <c r="D72" s="29" t="n">
        <f aca="false">D70*IF((D$35-Drivers!$C$109)&lt;0,0,0.1+(Drivers!$C$110-0.1)*MIN((D$35-Drivers!$C$109)/5,1))-D71</f>
        <v>-0.190833333333333</v>
      </c>
      <c r="E72" s="29" t="n">
        <f aca="false">E70*IF((E$35-Drivers!$C$109)&lt;0,0,0.1+(Drivers!$C$110-0.1)*MIN((E$35-Drivers!$C$109)/5,1))-E71</f>
        <v>-0.190833333333333</v>
      </c>
      <c r="F72" s="29" t="n">
        <f aca="false">F70*IF((F$35-Drivers!$C$109)&lt;0,0,0.1+(Drivers!$C$110-0.1)*MIN((F$35-Drivers!$C$109)/5,1))-F71</f>
        <v>-0.140833333333333</v>
      </c>
      <c r="G72" s="29" t="n">
        <f aca="false">G70*IF((G$35-Drivers!$C$109)&lt;0,0,0.1+(Drivers!$C$110-0.1)*MIN((G$35-Drivers!$C$109)/5,1))-G71</f>
        <v>-0.0784</v>
      </c>
      <c r="H72" s="29" t="n">
        <f aca="false">H70*IF((H$35-Drivers!$C$109)&lt;0,0,0.1+(Drivers!$C$110-0.1)*MIN((H$35-Drivers!$C$109)/5,1))-H71</f>
        <v>0.0085</v>
      </c>
      <c r="I72" s="29" t="n">
        <f aca="false">I70*IF((I$35-Drivers!$C$109)&lt;0,0,0.1+(Drivers!$C$110-0.1)*MIN((I$35-Drivers!$C$109)/5,1))-I71</f>
        <v>0.0216</v>
      </c>
      <c r="J72" s="29" t="n">
        <f aca="false">J70*IF((J$35-Drivers!$C$109)&lt;0,0,0.1+(Drivers!$C$110-0.1)*MIN((J$35-Drivers!$C$109)/5,1))-J71</f>
        <v>0.0403</v>
      </c>
      <c r="K72" s="29" t="n">
        <f aca="false">K70*IF((K$35-Drivers!$C$109)&lt;0,0,0.1+(Drivers!$C$110-0.1)*MIN((K$35-Drivers!$C$109)/5,1))-K71</f>
        <v>0.06232</v>
      </c>
      <c r="L72" s="29" t="n">
        <f aca="false">L70*IF((L$35-Drivers!$C$109)&lt;0,0,0.1+(Drivers!$C$110-0.1)*MIN((L$35-Drivers!$C$109)/5,1))-L71</f>
        <v>0.0837</v>
      </c>
      <c r="M72" s="29" t="n">
        <f aca="false">M70*IF((M$35-Drivers!$C$109)&lt;0,0,0.1+(Drivers!$C$110-0.1)*MIN((M$35-Drivers!$C$109)/5,1))-M71</f>
        <v>0.09</v>
      </c>
      <c r="N72" s="29" t="n">
        <f aca="false">N70*IF((N$35-Drivers!$C$109)&lt;0,0,0.1+(Drivers!$C$110-0.1)*MIN((N$35-Drivers!$C$109)/5,1))-N71</f>
        <v>0.09</v>
      </c>
      <c r="O72" s="29" t="n">
        <f aca="false">O70*IF((O$35-Drivers!$C$109)&lt;0,0,0.1+(Drivers!$C$110-0.1)*MIN((O$35-Drivers!$C$109)/5,1))-O71</f>
        <v>0.09</v>
      </c>
      <c r="P72" s="29" t="n">
        <f aca="false">P70*IF((P$35-Drivers!$C$109)&lt;0,0,0.1+(Drivers!$C$110-0.1)*MIN((P$35-Drivers!$C$109)/5,1))-P71</f>
        <v>0.09</v>
      </c>
      <c r="Q72" s="29" t="n">
        <f aca="false">Q70*IF((Q$35-Drivers!$C$109)&lt;0,0,0.1+(Drivers!$C$110-0.1)*MIN((Q$35-Drivers!$C$109)/5,1))-Q71</f>
        <v>0.09</v>
      </c>
      <c r="R72" s="29" t="n">
        <f aca="false">R70*IF((R$35-Drivers!$C$109)&lt;0,0,0.1+(Drivers!$C$110-0.1)*MIN((R$35-Drivers!$C$109)/5,1))-R71</f>
        <v>0.09</v>
      </c>
      <c r="S72" s="29" t="n">
        <f aca="false">S70*IF((S$35-Drivers!$C$109)&lt;0,0,0.1+(Drivers!$C$110-0.1)*MIN((S$35-Drivers!$C$109)/5,1))-S71</f>
        <v>0.072</v>
      </c>
      <c r="T72" s="29" t="n">
        <f aca="false">T70*IF((T$35-Drivers!$C$109)&lt;0,0,0.1+(Drivers!$C$110-0.1)*MIN((T$35-Drivers!$C$109)/5,1))-T71</f>
        <v>0.06984</v>
      </c>
      <c r="U72" s="29" t="n">
        <f aca="false">U70*IF((U$35-Drivers!$C$109)&lt;0,0,0.1+(Drivers!$C$110-0.1)*MIN((U$35-Drivers!$C$109)/5,1))-U71</f>
        <v>0.0677448</v>
      </c>
    </row>
    <row r="73" customFormat="false" ht="15" hidden="false" customHeight="false" outlineLevel="0" collapsed="false">
      <c r="A73" s="9" t="s">
        <v>362</v>
      </c>
      <c r="B73" s="35" t="s">
        <v>326</v>
      </c>
      <c r="C73" s="24" t="n">
        <f aca="false">Drivers!$C$114*Drivers!$C$115*IF((C$35-Drivers!$C$116)&lt;0,0,MIN(((C$35-Drivers!$C$116)+1)/5,1))</f>
        <v>0</v>
      </c>
      <c r="D73" s="24" t="n">
        <f aca="false">Drivers!$C$114*Drivers!$C$115*IF((D$35-Drivers!$C$116)&lt;0,0,MIN(((D$35-Drivers!$C$116)+1)/5,1))</f>
        <v>0.044</v>
      </c>
      <c r="E73" s="24" t="n">
        <f aca="false">Drivers!$C$114*Drivers!$C$115*IF((E$35-Drivers!$C$116)&lt;0,0,MIN(((E$35-Drivers!$C$116)+1)/5,1))</f>
        <v>0.088</v>
      </c>
      <c r="F73" s="24" t="n">
        <f aca="false">Drivers!$C$114*Drivers!$C$115*IF((F$35-Drivers!$C$116)&lt;0,0,MIN(((F$35-Drivers!$C$116)+1)/5,1))</f>
        <v>0.132</v>
      </c>
      <c r="G73" s="24" t="n">
        <f aca="false">Drivers!$C$114*Drivers!$C$115*IF((G$35-Drivers!$C$116)&lt;0,0,MIN(((G$35-Drivers!$C$116)+1)/5,1))</f>
        <v>0.176</v>
      </c>
      <c r="H73" s="24" t="n">
        <f aca="false">Drivers!$C$114*Drivers!$C$115*IF((H$35-Drivers!$C$116)&lt;0,0,MIN(((H$35-Drivers!$C$116)+1)/5,1))</f>
        <v>0.22</v>
      </c>
      <c r="I73" s="24" t="n">
        <f aca="false">Drivers!$C$114*Drivers!$C$115*IF((I$35-Drivers!$C$116)&lt;0,0,MIN(((I$35-Drivers!$C$116)+1)/5,1))</f>
        <v>0.22</v>
      </c>
      <c r="J73" s="24" t="n">
        <f aca="false">Drivers!$C$114*Drivers!$C$115*IF((J$35-Drivers!$C$116)&lt;0,0,MIN(((J$35-Drivers!$C$116)+1)/5,1))</f>
        <v>0.22</v>
      </c>
      <c r="K73" s="24" t="n">
        <f aca="false">Drivers!$C$114*Drivers!$C$115*IF((K$35-Drivers!$C$116)&lt;0,0,MIN(((K$35-Drivers!$C$116)+1)/5,1))</f>
        <v>0.22</v>
      </c>
      <c r="L73" s="24" t="n">
        <f aca="false">Drivers!$C$114*Drivers!$C$115*IF((L$35-Drivers!$C$116)&lt;0,0,MIN(((L$35-Drivers!$C$116)+1)/5,1))</f>
        <v>0.22</v>
      </c>
      <c r="M73" s="24" t="n">
        <f aca="false">Drivers!$C$114*Drivers!$C$115*IF((M$35-Drivers!$C$116)&lt;0,0,MIN(((M$35-Drivers!$C$116)+1)/5,1))</f>
        <v>0.22</v>
      </c>
      <c r="N73" s="24" t="n">
        <f aca="false">Drivers!$C$114*Drivers!$C$115*IF((N$35-Drivers!$C$116)&lt;0,0,MIN(((N$35-Drivers!$C$116)+1)/5,1))</f>
        <v>0.22</v>
      </c>
      <c r="O73" s="24" t="n">
        <f aca="false">Drivers!$C$114*Drivers!$C$115*IF((O$35-Drivers!$C$116)&lt;0,0,MIN(((O$35-Drivers!$C$116)+1)/5,1))</f>
        <v>0.22</v>
      </c>
      <c r="P73" s="24" t="n">
        <f aca="false">Drivers!$C$114*Drivers!$C$115*IF((P$35-Drivers!$C$116)&lt;0,0,MIN(((P$35-Drivers!$C$116)+1)/5,1))</f>
        <v>0.22</v>
      </c>
      <c r="Q73" s="24" t="n">
        <f aca="false">Drivers!$C$114*Drivers!$C$115*IF((Q$35-Drivers!$C$116)&lt;0,0,MIN(((Q$35-Drivers!$C$116)+1)/5,1))</f>
        <v>0.22</v>
      </c>
      <c r="R73" s="24" t="n">
        <f aca="false">Drivers!$C$114*Drivers!$C$115*IF((R$35-Drivers!$C$116)&lt;0,0,MIN(((R$35-Drivers!$C$116)+1)/5,1))</f>
        <v>0.22</v>
      </c>
      <c r="S73" s="24" t="n">
        <f aca="false">Drivers!$C$114*Drivers!$C$115*IF((S$35-Drivers!$C$116)&lt;0,0,MIN(((S$35-Drivers!$C$116)+1)/5,1))</f>
        <v>0.22</v>
      </c>
      <c r="T73" s="24" t="n">
        <f aca="false">Drivers!$C$114*Drivers!$C$115*IF((T$35-Drivers!$C$116)&lt;0,0,MIN(((T$35-Drivers!$C$116)+1)/5,1))</f>
        <v>0.22</v>
      </c>
      <c r="U73" s="24" t="n">
        <f aca="false">Drivers!$C$114*Drivers!$C$115*IF((U$35-Drivers!$C$116)&lt;0,0,MIN(((U$35-Drivers!$C$116)+1)/5,1))</f>
        <v>0.22</v>
      </c>
    </row>
    <row r="74" customFormat="false" ht="15" hidden="false" customHeight="false" outlineLevel="0" collapsed="false">
      <c r="A74" s="9" t="s">
        <v>363</v>
      </c>
      <c r="B74" s="35" t="s">
        <v>326</v>
      </c>
      <c r="C74" s="24" t="n">
        <f aca="false">Drivers!$C$120*Drivers!$C$121*IF((C$35-Drivers!$C$122)&lt;0,0,MIN(((C$35-Drivers!$C$122)+1)/5,1))</f>
        <v>0</v>
      </c>
      <c r="D74" s="24" t="n">
        <f aca="false">Drivers!$C$120*Drivers!$C$121*IF((D$35-Drivers!$C$122)&lt;0,0,MIN(((D$35-Drivers!$C$122)+1)/5,1))</f>
        <v>0</v>
      </c>
      <c r="E74" s="24" t="n">
        <f aca="false">Drivers!$C$120*Drivers!$C$121*IF((E$35-Drivers!$C$122)&lt;0,0,MIN(((E$35-Drivers!$C$122)+1)/5,1))</f>
        <v>0</v>
      </c>
      <c r="F74" s="24" t="n">
        <f aca="false">Drivers!$C$120*Drivers!$C$121*IF((F$35-Drivers!$C$122)&lt;0,0,MIN(((F$35-Drivers!$C$122)+1)/5,1))</f>
        <v>0</v>
      </c>
      <c r="G74" s="24" t="n">
        <f aca="false">Drivers!$C$120*Drivers!$C$121*IF((G$35-Drivers!$C$122)&lt;0,0,MIN(((G$35-Drivers!$C$122)+1)/5,1))</f>
        <v>0.016</v>
      </c>
      <c r="H74" s="24" t="n">
        <f aca="false">Drivers!$C$120*Drivers!$C$121*IF((H$35-Drivers!$C$122)&lt;0,0,MIN(((H$35-Drivers!$C$122)+1)/5,1))</f>
        <v>0.032</v>
      </c>
      <c r="I74" s="24" t="n">
        <f aca="false">Drivers!$C$120*Drivers!$C$121*IF((I$35-Drivers!$C$122)&lt;0,0,MIN(((I$35-Drivers!$C$122)+1)/5,1))</f>
        <v>0.048</v>
      </c>
      <c r="J74" s="24" t="n">
        <f aca="false">Drivers!$C$120*Drivers!$C$121*IF((J$35-Drivers!$C$122)&lt;0,0,MIN(((J$35-Drivers!$C$122)+1)/5,1))</f>
        <v>0.064</v>
      </c>
      <c r="K74" s="24" t="n">
        <f aca="false">Drivers!$C$120*Drivers!$C$121*IF((K$35-Drivers!$C$122)&lt;0,0,MIN(((K$35-Drivers!$C$122)+1)/5,1))</f>
        <v>0.08</v>
      </c>
      <c r="L74" s="24" t="n">
        <f aca="false">Drivers!$C$120*Drivers!$C$121*IF((L$35-Drivers!$C$122)&lt;0,0,MIN(((L$35-Drivers!$C$122)+1)/5,1))</f>
        <v>0.08</v>
      </c>
      <c r="M74" s="24" t="n">
        <f aca="false">Drivers!$C$120*Drivers!$C$121*IF((M$35-Drivers!$C$122)&lt;0,0,MIN(((M$35-Drivers!$C$122)+1)/5,1))</f>
        <v>0.08</v>
      </c>
      <c r="N74" s="24" t="n">
        <f aca="false">Drivers!$C$120*Drivers!$C$121*IF((N$35-Drivers!$C$122)&lt;0,0,MIN(((N$35-Drivers!$C$122)+1)/5,1))</f>
        <v>0.08</v>
      </c>
      <c r="O74" s="24" t="n">
        <f aca="false">Drivers!$C$120*Drivers!$C$121*IF((O$35-Drivers!$C$122)&lt;0,0,MIN(((O$35-Drivers!$C$122)+1)/5,1))</f>
        <v>0.08</v>
      </c>
      <c r="P74" s="24" t="n">
        <f aca="false">Drivers!$C$120*Drivers!$C$121*IF((P$35-Drivers!$C$122)&lt;0,0,MIN(((P$35-Drivers!$C$122)+1)/5,1))</f>
        <v>0.08</v>
      </c>
      <c r="Q74" s="24" t="n">
        <f aca="false">Drivers!$C$120*Drivers!$C$121*IF((Q$35-Drivers!$C$122)&lt;0,0,MIN(((Q$35-Drivers!$C$122)+1)/5,1))</f>
        <v>0.08</v>
      </c>
      <c r="R74" s="24" t="n">
        <f aca="false">Drivers!$C$120*Drivers!$C$121*IF((R$35-Drivers!$C$122)&lt;0,0,MIN(((R$35-Drivers!$C$122)+1)/5,1))</f>
        <v>0.08</v>
      </c>
      <c r="S74" s="24" t="n">
        <f aca="false">Drivers!$C$120*Drivers!$C$121*IF((S$35-Drivers!$C$122)&lt;0,0,MIN(((S$35-Drivers!$C$122)+1)/5,1))</f>
        <v>0.08</v>
      </c>
      <c r="T74" s="24" t="n">
        <f aca="false">Drivers!$C$120*Drivers!$C$121*IF((T$35-Drivers!$C$122)&lt;0,0,MIN(((T$35-Drivers!$C$122)+1)/5,1))</f>
        <v>0.08</v>
      </c>
      <c r="U74" s="24" t="n">
        <f aca="false">Drivers!$C$120*Drivers!$C$121*IF((U$35-Drivers!$C$122)&lt;0,0,MIN(((U$35-Drivers!$C$122)+1)/5,1))</f>
        <v>0.08</v>
      </c>
    </row>
    <row r="75" customFormat="false" ht="15" hidden="false" customHeight="false" outlineLevel="0" collapsed="false">
      <c r="A75" s="9" t="s">
        <v>364</v>
      </c>
      <c r="B75" s="35" t="s">
        <v>326</v>
      </c>
      <c r="C75" s="24" t="n">
        <f aca="false">Drivers!$C$125*Drivers!$C$126*IF((C$35-Drivers!$C$127)&lt;0,0,MIN(((C$35-Drivers!$C$127)+1)/5,1))*Drivers!$C$128</f>
        <v>0</v>
      </c>
      <c r="D75" s="24" t="n">
        <f aca="false">Drivers!$C$125*Drivers!$C$126*IF((D$35-Drivers!$C$127)&lt;0,0,MIN(((D$35-Drivers!$C$127)+1)/5,1))*Drivers!$C$128</f>
        <v>0</v>
      </c>
      <c r="E75" s="24" t="n">
        <f aca="false">Drivers!$C$125*Drivers!$C$126*IF((E$35-Drivers!$C$127)&lt;0,0,MIN(((E$35-Drivers!$C$127)+1)/5,1))*Drivers!$C$128</f>
        <v>0</v>
      </c>
      <c r="F75" s="24" t="n">
        <f aca="false">Drivers!$C$125*Drivers!$C$126*IF((F$35-Drivers!$C$127)&lt;0,0,MIN(((F$35-Drivers!$C$127)+1)/5,1))*Drivers!$C$128</f>
        <v>0</v>
      </c>
      <c r="G75" s="24" t="n">
        <f aca="false">Drivers!$C$125*Drivers!$C$126*IF((G$35-Drivers!$C$127)&lt;0,0,MIN(((G$35-Drivers!$C$127)+1)/5,1))*Drivers!$C$128</f>
        <v>0.0016</v>
      </c>
      <c r="H75" s="24" t="n">
        <f aca="false">Drivers!$C$125*Drivers!$C$126*IF((H$35-Drivers!$C$127)&lt;0,0,MIN(((H$35-Drivers!$C$127)+1)/5,1))*Drivers!$C$128</f>
        <v>0.0032</v>
      </c>
      <c r="I75" s="24" t="n">
        <f aca="false">Drivers!$C$125*Drivers!$C$126*IF((I$35-Drivers!$C$127)&lt;0,0,MIN(((I$35-Drivers!$C$127)+1)/5,1))*Drivers!$C$128</f>
        <v>0.0048</v>
      </c>
      <c r="J75" s="24" t="n">
        <f aca="false">Drivers!$C$125*Drivers!$C$126*IF((J$35-Drivers!$C$127)&lt;0,0,MIN(((J$35-Drivers!$C$127)+1)/5,1))*Drivers!$C$128</f>
        <v>0.0064</v>
      </c>
      <c r="K75" s="24" t="n">
        <f aca="false">Drivers!$C$125*Drivers!$C$126*IF((K$35-Drivers!$C$127)&lt;0,0,MIN(((K$35-Drivers!$C$127)+1)/5,1))*Drivers!$C$128</f>
        <v>0.008</v>
      </c>
      <c r="L75" s="24" t="n">
        <f aca="false">Drivers!$C$125*Drivers!$C$126*IF((L$35-Drivers!$C$127)&lt;0,0,MIN(((L$35-Drivers!$C$127)+1)/5,1))*Drivers!$C$128</f>
        <v>0.008</v>
      </c>
      <c r="M75" s="24" t="n">
        <f aca="false">Drivers!$C$125*Drivers!$C$126*IF((M$35-Drivers!$C$127)&lt;0,0,MIN(((M$35-Drivers!$C$127)+1)/5,1))*Drivers!$C$128</f>
        <v>0.008</v>
      </c>
      <c r="N75" s="24" t="n">
        <f aca="false">Drivers!$C$125*Drivers!$C$126*IF((N$35-Drivers!$C$127)&lt;0,0,MIN(((N$35-Drivers!$C$127)+1)/5,1))*Drivers!$C$128</f>
        <v>0.008</v>
      </c>
      <c r="O75" s="24" t="n">
        <f aca="false">Drivers!$C$125*Drivers!$C$126*IF((O$35-Drivers!$C$127)&lt;0,0,MIN(((O$35-Drivers!$C$127)+1)/5,1))*Drivers!$C$128</f>
        <v>0.008</v>
      </c>
      <c r="P75" s="24" t="n">
        <f aca="false">Drivers!$C$125*Drivers!$C$126*IF((P$35-Drivers!$C$127)&lt;0,0,MIN(((P$35-Drivers!$C$127)+1)/5,1))*Drivers!$C$128</f>
        <v>0.008</v>
      </c>
      <c r="Q75" s="24" t="n">
        <f aca="false">Drivers!$C$125*Drivers!$C$126*IF((Q$35-Drivers!$C$127)&lt;0,0,MIN(((Q$35-Drivers!$C$127)+1)/5,1))*Drivers!$C$128</f>
        <v>0.008</v>
      </c>
      <c r="R75" s="24" t="n">
        <f aca="false">Drivers!$C$125*Drivers!$C$126*IF((R$35-Drivers!$C$127)&lt;0,0,MIN(((R$35-Drivers!$C$127)+1)/5,1))*Drivers!$C$128</f>
        <v>0.008</v>
      </c>
      <c r="S75" s="24" t="n">
        <f aca="false">Drivers!$C$125*Drivers!$C$126*IF((S$35-Drivers!$C$127)&lt;0,0,MIN(((S$35-Drivers!$C$127)+1)/5,1))*Drivers!$C$128</f>
        <v>0.008</v>
      </c>
      <c r="T75" s="24" t="n">
        <f aca="false">Drivers!$C$125*Drivers!$C$126*IF((T$35-Drivers!$C$127)&lt;0,0,MIN(((T$35-Drivers!$C$127)+1)/5,1))*Drivers!$C$128</f>
        <v>0.008</v>
      </c>
      <c r="U75" s="24" t="n">
        <f aca="false">Drivers!$C$125*Drivers!$C$126*IF((U$35-Drivers!$C$127)&lt;0,0,MIN(((U$35-Drivers!$C$127)+1)/5,1))*Drivers!$C$128</f>
        <v>0.008</v>
      </c>
    </row>
    <row r="76" customFormat="false" ht="15" hidden="false" customHeight="false" outlineLevel="0" collapsed="false">
      <c r="A76" s="3" t="s">
        <v>365</v>
      </c>
      <c r="B76" s="35" t="s">
        <v>326</v>
      </c>
      <c r="C76" s="29" t="n">
        <f aca="false">C73*Drivers!$C$117+Drivers!$C$114*(Drivers!$C$118*(C$35=Drivers!$C$116)+Drivers!$C$119*(C$35=Drivers!$C$116+3))+C74*Drivers!$C$123-Drivers!$C$124*Drivers!$C$114*AND(C$35&gt;=2027,C$35&lt;=2030)+C75</f>
        <v>-0.044</v>
      </c>
      <c r="D76" s="29" t="n">
        <f aca="false">D73*Drivers!$C$117+Drivers!$C$114*(Drivers!$C$118*(D$35=Drivers!$C$116)+Drivers!$C$119*(D$35=Drivers!$C$116+3))+D74*Drivers!$C$123-Drivers!$C$124*Drivers!$C$114*AND(D$35&gt;=2027,D$35&lt;=2030)+D75</f>
        <v>0.0231</v>
      </c>
      <c r="E76" s="29" t="n">
        <f aca="false">E73*Drivers!$C$117+Drivers!$C$114*(Drivers!$C$118*(E$35=Drivers!$C$116)+Drivers!$C$119*(E$35=Drivers!$C$116+3))+E74*Drivers!$C$123-Drivers!$C$124*Drivers!$C$114*AND(E$35&gt;=2027,E$35&lt;=2030)+E75</f>
        <v>-0.0308</v>
      </c>
      <c r="F76" s="29" t="n">
        <f aca="false">F73*Drivers!$C$117+Drivers!$C$114*(Drivers!$C$118*(F$35=Drivers!$C$116)+Drivers!$C$119*(F$35=Drivers!$C$116+3))+F74*Drivers!$C$123-Drivers!$C$124*Drivers!$C$114*AND(F$35&gt;=2027,F$35&lt;=2030)+F75</f>
        <v>-0.0242</v>
      </c>
      <c r="G76" s="29" t="n">
        <f aca="false">G73*Drivers!$C$117+Drivers!$C$114*(Drivers!$C$118*(G$35=Drivers!$C$116)+Drivers!$C$119*(G$35=Drivers!$C$116+3))+G74*Drivers!$C$123-Drivers!$C$124*Drivers!$C$114*AND(G$35&gt;=2027,G$35&lt;=2030)+G75</f>
        <v>0.091</v>
      </c>
      <c r="H76" s="29" t="n">
        <f aca="false">H73*Drivers!$C$117+Drivers!$C$114*(Drivers!$C$118*(H$35=Drivers!$C$116)+Drivers!$C$119*(H$35=Drivers!$C$116+3))+H74*Drivers!$C$123-Drivers!$C$124*Drivers!$C$114*AND(H$35&gt;=2027,H$35&lt;=2030)+H75</f>
        <v>0.0522</v>
      </c>
      <c r="I76" s="29" t="n">
        <f aca="false">I73*Drivers!$C$117+Drivers!$C$114*(Drivers!$C$118*(I$35=Drivers!$C$116)+Drivers!$C$119*(I$35=Drivers!$C$116+3))+I74*Drivers!$C$123-Drivers!$C$124*Drivers!$C$114*AND(I$35&gt;=2027,I$35&lt;=2030)+I75</f>
        <v>0.0618</v>
      </c>
      <c r="J76" s="29" t="n">
        <f aca="false">J73*Drivers!$C$117+Drivers!$C$114*(Drivers!$C$118*(J$35=Drivers!$C$116)+Drivers!$C$119*(J$35=Drivers!$C$116+3))+J74*Drivers!$C$123-Drivers!$C$124*Drivers!$C$114*AND(J$35&gt;=2027,J$35&lt;=2030)+J75</f>
        <v>0.0714</v>
      </c>
      <c r="K76" s="29" t="n">
        <f aca="false">K73*Drivers!$C$117+Drivers!$C$114*(Drivers!$C$118*(K$35=Drivers!$C$116)+Drivers!$C$119*(K$35=Drivers!$C$116+3))+K74*Drivers!$C$123-Drivers!$C$124*Drivers!$C$114*AND(K$35&gt;=2027,K$35&lt;=2030)+K75</f>
        <v>0.081</v>
      </c>
      <c r="L76" s="29" t="n">
        <f aca="false">L73*Drivers!$C$117+Drivers!$C$114*(Drivers!$C$118*(L$35=Drivers!$C$116)+Drivers!$C$119*(L$35=Drivers!$C$116+3))+L74*Drivers!$C$123-Drivers!$C$124*Drivers!$C$114*AND(L$35&gt;=2027,L$35&lt;=2030)+L75</f>
        <v>0.081</v>
      </c>
      <c r="M76" s="29" t="n">
        <f aca="false">M73*Drivers!$C$117+Drivers!$C$114*(Drivers!$C$118*(M$35=Drivers!$C$116)+Drivers!$C$119*(M$35=Drivers!$C$116+3))+M74*Drivers!$C$123-Drivers!$C$124*Drivers!$C$114*AND(M$35&gt;=2027,M$35&lt;=2030)+M75</f>
        <v>0.081</v>
      </c>
      <c r="N76" s="29" t="n">
        <f aca="false">N73*Drivers!$C$117+Drivers!$C$114*(Drivers!$C$118*(N$35=Drivers!$C$116)+Drivers!$C$119*(N$35=Drivers!$C$116+3))+N74*Drivers!$C$123-Drivers!$C$124*Drivers!$C$114*AND(N$35&gt;=2027,N$35&lt;=2030)+N75</f>
        <v>0.081</v>
      </c>
      <c r="O76" s="29" t="n">
        <f aca="false">O73*Drivers!$C$117+Drivers!$C$114*(Drivers!$C$118*(O$35=Drivers!$C$116)+Drivers!$C$119*(O$35=Drivers!$C$116+3))+O74*Drivers!$C$123-Drivers!$C$124*Drivers!$C$114*AND(O$35&gt;=2027,O$35&lt;=2030)+O75</f>
        <v>0.081</v>
      </c>
      <c r="P76" s="29" t="n">
        <f aca="false">P73*Drivers!$C$117+Drivers!$C$114*(Drivers!$C$118*(P$35=Drivers!$C$116)+Drivers!$C$119*(P$35=Drivers!$C$116+3))+P74*Drivers!$C$123-Drivers!$C$124*Drivers!$C$114*AND(P$35&gt;=2027,P$35&lt;=2030)+P75</f>
        <v>0.081</v>
      </c>
      <c r="Q76" s="29" t="n">
        <f aca="false">Q73*Drivers!$C$117+Drivers!$C$114*(Drivers!$C$118*(Q$35=Drivers!$C$116)+Drivers!$C$119*(Q$35=Drivers!$C$116+3))+Q74*Drivers!$C$123-Drivers!$C$124*Drivers!$C$114*AND(Q$35&gt;=2027,Q$35&lt;=2030)+Q75</f>
        <v>0.081</v>
      </c>
      <c r="R76" s="29" t="n">
        <f aca="false">R73*Drivers!$C$117+Drivers!$C$114*(Drivers!$C$118*(R$35=Drivers!$C$116)+Drivers!$C$119*(R$35=Drivers!$C$116+3))+R74*Drivers!$C$123-Drivers!$C$124*Drivers!$C$114*AND(R$35&gt;=2027,R$35&lt;=2030)+R75</f>
        <v>0.081</v>
      </c>
      <c r="S76" s="29" t="n">
        <f aca="false">S73*Drivers!$C$117+Drivers!$C$114*(Drivers!$C$118*(S$35=Drivers!$C$116)+Drivers!$C$119*(S$35=Drivers!$C$116+3))+S74*Drivers!$C$123-Drivers!$C$124*Drivers!$C$114*AND(S$35&gt;=2027,S$35&lt;=2030)+S75</f>
        <v>0.081</v>
      </c>
      <c r="T76" s="29" t="n">
        <f aca="false">T73*Drivers!$C$117+Drivers!$C$114*(Drivers!$C$118*(T$35=Drivers!$C$116)+Drivers!$C$119*(T$35=Drivers!$C$116+3))+T74*Drivers!$C$123-Drivers!$C$124*Drivers!$C$114*AND(T$35&gt;=2027,T$35&lt;=2030)+T75</f>
        <v>0.081</v>
      </c>
      <c r="U76" s="29" t="n">
        <f aca="false">U73*Drivers!$C$117+Drivers!$C$114*(Drivers!$C$118*(U$35=Drivers!$C$116)+Drivers!$C$119*(U$35=Drivers!$C$116+3))+U74*Drivers!$C$123-Drivers!$C$124*Drivers!$C$114*AND(U$35&gt;=2027,U$35&lt;=2030)+U75</f>
        <v>0.081</v>
      </c>
    </row>
    <row r="77" customFormat="false" ht="15" hidden="false" customHeight="false" outlineLevel="0" collapsed="false">
      <c r="A77" s="3" t="s">
        <v>366</v>
      </c>
    </row>
    <row r="78" customFormat="false" ht="15" hidden="false" customHeight="false" outlineLevel="0" collapsed="false">
      <c r="A78" s="9" t="s">
        <v>298</v>
      </c>
      <c r="B78" s="35" t="s">
        <v>326</v>
      </c>
      <c r="C78" s="24" t="n">
        <f aca="false">Drivers!$C$129*(1+Drivers!$C$130)^C$36</f>
        <v>0.42</v>
      </c>
      <c r="D78" s="24" t="n">
        <f aca="false">Drivers!$C$129*(1+Drivers!$C$130)^D$36</f>
        <v>0.4284</v>
      </c>
      <c r="E78" s="24" t="n">
        <f aca="false">Drivers!$C$129*(1+Drivers!$C$130)^E$36</f>
        <v>0.436968</v>
      </c>
      <c r="F78" s="24" t="n">
        <f aca="false">Drivers!$C$129*(1+Drivers!$C$130)^F$36</f>
        <v>0.44570736</v>
      </c>
      <c r="G78" s="24" t="n">
        <f aca="false">Drivers!$C$129*(1+Drivers!$C$130)^G$36</f>
        <v>0.4546215072</v>
      </c>
      <c r="H78" s="24" t="n">
        <f aca="false">Drivers!$C$129*(1+Drivers!$C$130)^H$36</f>
        <v>0.463713937344</v>
      </c>
      <c r="I78" s="24" t="n">
        <f aca="false">Drivers!$C$129*(1+Drivers!$C$130)^I$36</f>
        <v>0.47298821609088</v>
      </c>
      <c r="J78" s="24" t="n">
        <f aca="false">Drivers!$C$129*(1+Drivers!$C$130)^J$36</f>
        <v>0.482447980412698</v>
      </c>
      <c r="K78" s="24" t="n">
        <f aca="false">Drivers!$C$129*(1+Drivers!$C$130)^K$36</f>
        <v>0.492096940020952</v>
      </c>
      <c r="L78" s="24" t="n">
        <f aca="false">Drivers!$C$129*(1+Drivers!$C$130)^L$36</f>
        <v>0.501938878821371</v>
      </c>
      <c r="M78" s="24" t="n">
        <f aca="false">Drivers!$C$129*(1+Drivers!$C$130)^M$36</f>
        <v>0.511977656397798</v>
      </c>
      <c r="N78" s="24" t="n">
        <f aca="false">Drivers!$C$129*(1+Drivers!$C$130)^N$36</f>
        <v>0.522217209525754</v>
      </c>
      <c r="O78" s="24" t="n">
        <f aca="false">Drivers!$C$129*(1+Drivers!$C$130)^O$36</f>
        <v>0.532661553716269</v>
      </c>
      <c r="P78" s="24" t="n">
        <f aca="false">Drivers!$C$129*(1+Drivers!$C$130)^P$36</f>
        <v>0.543314784790595</v>
      </c>
      <c r="Q78" s="24" t="n">
        <f aca="false">Drivers!$C$129*(1+Drivers!$C$130)^Q$36</f>
        <v>0.554181080486406</v>
      </c>
      <c r="R78" s="24" t="n">
        <f aca="false">Drivers!$C$129*(1+Drivers!$C$130)^R$36</f>
        <v>0.565264702096135</v>
      </c>
      <c r="S78" s="24" t="n">
        <f aca="false">Drivers!$C$129*(1+Drivers!$C$130)^S$36</f>
        <v>0.576569996138057</v>
      </c>
      <c r="T78" s="24" t="n">
        <f aca="false">Drivers!$C$129*(1+Drivers!$C$130)^T$36</f>
        <v>0.588101396060819</v>
      </c>
      <c r="U78" s="24" t="n">
        <f aca="false">Drivers!$C$129*(1+Drivers!$C$130)^U$36</f>
        <v>0.599863423982035</v>
      </c>
    </row>
    <row r="79" customFormat="false" ht="15" hidden="false" customHeight="false" outlineLevel="0" collapsed="false">
      <c r="A79" s="9" t="s">
        <v>367</v>
      </c>
      <c r="B79" s="35" t="s">
        <v>326</v>
      </c>
      <c r="C79" s="24" t="n">
        <f aca="false">Drivers!$D$131</f>
        <v>1.2</v>
      </c>
      <c r="D79" s="24" t="n">
        <f aca="false">Drivers!$E$131</f>
        <v>1.15</v>
      </c>
      <c r="E79" s="24" t="n">
        <f aca="false">Drivers!$F$131</f>
        <v>1.12</v>
      </c>
      <c r="F79" s="24" t="n">
        <f aca="false">Drivers!$G$131</f>
        <v>1.1</v>
      </c>
      <c r="G79" s="24" t="n">
        <f aca="false">Drivers!$H$131</f>
        <v>1.1</v>
      </c>
      <c r="H79" s="24" t="n">
        <f aca="false">Drivers!$I$131</f>
        <v>1.1</v>
      </c>
      <c r="I79" s="24" t="n">
        <f aca="false">H79*(1+Drivers!$C$132)</f>
        <v>1.122</v>
      </c>
      <c r="J79" s="24" t="n">
        <f aca="false">I79*(1+Drivers!$C$132)</f>
        <v>1.14444</v>
      </c>
      <c r="K79" s="24" t="n">
        <f aca="false">J79*(1+Drivers!$C$132)</f>
        <v>1.1673288</v>
      </c>
      <c r="L79" s="24" t="n">
        <f aca="false">K79*(1+Drivers!$C$132)</f>
        <v>1.190675376</v>
      </c>
      <c r="M79" s="24" t="n">
        <f aca="false">L79*(1+Drivers!$C$132)</f>
        <v>1.21448888352</v>
      </c>
      <c r="N79" s="24" t="n">
        <f aca="false">M79*(1+Drivers!$C$132)</f>
        <v>1.2387786611904</v>
      </c>
      <c r="O79" s="24" t="n">
        <f aca="false">N79*(1+Drivers!$C$132)</f>
        <v>1.26355423441421</v>
      </c>
      <c r="P79" s="24" t="n">
        <f aca="false">O79*(1+Drivers!$C$132)</f>
        <v>1.28882531910249</v>
      </c>
      <c r="Q79" s="24" t="n">
        <f aca="false">P79*(1+Drivers!$C$132)</f>
        <v>1.31460182548454</v>
      </c>
      <c r="R79" s="24" t="n">
        <f aca="false">Q79*(1+Drivers!$C$132)</f>
        <v>1.34089386199423</v>
      </c>
      <c r="S79" s="24" t="n">
        <f aca="false">R79*(1+Drivers!$C$132)</f>
        <v>1.36771173923412</v>
      </c>
      <c r="T79" s="24" t="n">
        <f aca="false">S79*(1+Drivers!$C$132)</f>
        <v>1.3950659740188</v>
      </c>
      <c r="U79" s="24" t="n">
        <f aca="false">T79*(1+Drivers!$C$132)</f>
        <v>1.42296729349918</v>
      </c>
    </row>
    <row r="80" customFormat="false" ht="15" hidden="false" customHeight="false" outlineLevel="0" collapsed="false">
      <c r="A80" s="9" t="s">
        <v>368</v>
      </c>
      <c r="B80" s="35" t="s">
        <v>326</v>
      </c>
      <c r="C80" s="24" t="n">
        <f aca="false">C79*$C$17</f>
        <v>1.02</v>
      </c>
      <c r="D80" s="24" t="n">
        <f aca="false">D79*$C$17</f>
        <v>0.9775</v>
      </c>
      <c r="E80" s="24" t="n">
        <f aca="false">E79*$C$17</f>
        <v>0.952</v>
      </c>
      <c r="F80" s="24" t="n">
        <f aca="false">F79*$C$17</f>
        <v>0.935</v>
      </c>
      <c r="G80" s="24" t="n">
        <f aca="false">G79*$C$17</f>
        <v>0.935</v>
      </c>
      <c r="H80" s="24" t="n">
        <f aca="false">H79*$C$17</f>
        <v>0.935</v>
      </c>
      <c r="I80" s="24" t="n">
        <f aca="false">I79*$C$17</f>
        <v>0.9537</v>
      </c>
      <c r="J80" s="24" t="n">
        <f aca="false">J79*$C$17</f>
        <v>0.972774</v>
      </c>
      <c r="K80" s="24" t="n">
        <f aca="false">K79*$C$17</f>
        <v>0.99222948</v>
      </c>
      <c r="L80" s="24" t="n">
        <f aca="false">L79*$C$17</f>
        <v>1.0120740696</v>
      </c>
      <c r="M80" s="24" t="n">
        <f aca="false">M79*$C$17</f>
        <v>1.032315550992</v>
      </c>
      <c r="N80" s="24" t="n">
        <f aca="false">N79*$C$17</f>
        <v>1.05296186201184</v>
      </c>
      <c r="O80" s="24" t="n">
        <f aca="false">O79*$C$17</f>
        <v>1.07402109925208</v>
      </c>
      <c r="P80" s="24" t="n">
        <f aca="false">P79*$C$17</f>
        <v>1.09550152123712</v>
      </c>
      <c r="Q80" s="24" t="n">
        <f aca="false">Q79*$C$17</f>
        <v>1.11741155166186</v>
      </c>
      <c r="R80" s="24" t="n">
        <f aca="false">R79*$C$17</f>
        <v>1.1397597826951</v>
      </c>
      <c r="S80" s="24" t="n">
        <f aca="false">S79*$C$17</f>
        <v>1.162554978349</v>
      </c>
      <c r="T80" s="24" t="n">
        <f aca="false">T79*$C$17</f>
        <v>1.18580607791598</v>
      </c>
      <c r="U80" s="24" t="n">
        <f aca="false">U79*$C$17</f>
        <v>1.2095221994743</v>
      </c>
    </row>
    <row r="81" customFormat="false" ht="15" hidden="false" customHeight="false" outlineLevel="0" collapsed="false">
      <c r="A81" s="3" t="s">
        <v>369</v>
      </c>
      <c r="B81" s="35" t="s">
        <v>326</v>
      </c>
      <c r="C81" s="29" t="n">
        <f aca="false">C44+Drivers!$C$85*C64+C70+C74+C73*Drivers!$C$117+C75</f>
        <v>2.00878</v>
      </c>
      <c r="D81" s="29" t="n">
        <f aca="false">D44+Drivers!$C$85*D64+D70+D74+D73*Drivers!$C$117+D75</f>
        <v>2.21241</v>
      </c>
      <c r="E81" s="29" t="n">
        <f aca="false">E44+Drivers!$C$85*E64+E70+E74+E73*Drivers!$C$117+E75</f>
        <v>2.50707125</v>
      </c>
      <c r="F81" s="29" t="n">
        <f aca="false">F44+Drivers!$C$85*F64+F70+F74+F73*Drivers!$C$117+F75</f>
        <v>2.80857625</v>
      </c>
      <c r="G81" s="29" t="n">
        <f aca="false">G44+Drivers!$C$85*G64+G70+G74+G73*Drivers!$C$117+G75</f>
        <v>3.20714925</v>
      </c>
      <c r="H81" s="29" t="n">
        <f aca="false">H44+Drivers!$C$85*H64+H70+H74+H73*Drivers!$C$117+H75</f>
        <v>3.4103365</v>
      </c>
      <c r="I81" s="29" t="n">
        <f aca="false">I44+Drivers!$C$85*I64+I70+I74+I73*Drivers!$C$117+I75</f>
        <v>3.65113625</v>
      </c>
      <c r="J81" s="29" t="n">
        <f aca="false">J44+Drivers!$C$85*J64+J70+J74+J73*Drivers!$C$117+J75</f>
        <v>3.842767</v>
      </c>
      <c r="K81" s="29" t="n">
        <f aca="false">K44+Drivers!$C$85*K64+K70+K74+K73*Drivers!$C$117+K75</f>
        <v>4.02133916</v>
      </c>
      <c r="L81" s="29" t="n">
        <f aca="false">L44+Drivers!$C$85*L64+L70+L74+L73*Drivers!$C$117+L75</f>
        <v>4.1737283168</v>
      </c>
      <c r="M81" s="29" t="n">
        <f aca="false">M44+Drivers!$C$85*M64+M70+M74+M73*Drivers!$C$117+M75</f>
        <v>4.305313980464</v>
      </c>
      <c r="N81" s="29" t="n">
        <f aca="false">N44+Drivers!$C$85*N64+N70+N74+N73*Drivers!$C$117+N75</f>
        <v>4.38132833085472</v>
      </c>
      <c r="O81" s="29" t="n">
        <f aca="false">O44+Drivers!$C$85*O64+O70+O74+O73*Drivers!$C$117+O75</f>
        <v>4.43467371423763</v>
      </c>
      <c r="P81" s="29" t="n">
        <f aca="false">P44+Drivers!$C$85*P64+P70+P74+P73*Drivers!$C$117+P75</f>
        <v>4.36496063995287</v>
      </c>
      <c r="Q81" s="29" t="n">
        <f aca="false">Q44+Drivers!$C$85*Q64+Q70+Q74+Q73*Drivers!$C$117+Q75</f>
        <v>4.35636627715382</v>
      </c>
      <c r="R81" s="29" t="n">
        <f aca="false">R44+Drivers!$C$85*R64+R70+R74+R73*Drivers!$C$117+R75</f>
        <v>4.32680970161074</v>
      </c>
      <c r="S81" s="29" t="n">
        <f aca="false">S44+Drivers!$C$85*S64+S70+S74+S73*Drivers!$C$117+S75</f>
        <v>4.16303556507852</v>
      </c>
      <c r="T81" s="29" t="n">
        <f aca="false">T44+Drivers!$C$85*T64+T70+T74+T73*Drivers!$C$117+T75</f>
        <v>4.11111607955195</v>
      </c>
      <c r="U81" s="29" t="n">
        <f aca="false">U44+Drivers!$C$85*U64+U70+U74+U73*Drivers!$C$117+U75</f>
        <v>4.05860321696267</v>
      </c>
    </row>
    <row r="82" customFormat="false" ht="15" hidden="false" customHeight="false" outlineLevel="0" collapsed="false">
      <c r="A82" s="9" t="s">
        <v>370</v>
      </c>
      <c r="B82" s="35" t="s">
        <v>326</v>
      </c>
      <c r="C82" s="24" t="n">
        <f aca="false">Drivers!$D$134</f>
        <v>0.3</v>
      </c>
      <c r="D82" s="24" t="n">
        <f aca="false">Drivers!$E$134</f>
        <v>0.25</v>
      </c>
      <c r="E82" s="24" t="n">
        <f aca="false">Drivers!$F$134</f>
        <v>0.25</v>
      </c>
      <c r="F82" s="24" t="n">
        <f aca="false">Drivers!$G$134</f>
        <v>0.25</v>
      </c>
      <c r="G82" s="24" t="n">
        <f aca="false">Drivers!$H$134</f>
        <v>0.25</v>
      </c>
      <c r="H82" s="24" t="n">
        <f aca="false">Drivers!$I$134</f>
        <v>0.25</v>
      </c>
      <c r="I82" s="24" t="n">
        <f aca="false">Drivers!$C$135*I81</f>
        <v>0.14604545</v>
      </c>
      <c r="J82" s="24" t="n">
        <f aca="false">Drivers!$C$135*J81</f>
        <v>0.15371068</v>
      </c>
      <c r="K82" s="24" t="n">
        <f aca="false">Drivers!$C$135*K81</f>
        <v>0.1608535664</v>
      </c>
      <c r="L82" s="24" t="n">
        <f aca="false">Drivers!$C$135*L81</f>
        <v>0.166949132672</v>
      </c>
      <c r="M82" s="24" t="n">
        <f aca="false">Drivers!$C$135*M81</f>
        <v>0.17221255921856</v>
      </c>
      <c r="N82" s="24" t="n">
        <f aca="false">Drivers!$C$135*N81</f>
        <v>0.175253133234189</v>
      </c>
      <c r="O82" s="24" t="n">
        <f aca="false">Drivers!$C$135*O81</f>
        <v>0.177386948569505</v>
      </c>
      <c r="P82" s="24" t="n">
        <f aca="false">Drivers!$C$135*P81</f>
        <v>0.174598425598115</v>
      </c>
      <c r="Q82" s="24" t="n">
        <f aca="false">Drivers!$C$135*Q81</f>
        <v>0.174254651086153</v>
      </c>
      <c r="R82" s="24" t="n">
        <f aca="false">Drivers!$C$135*R81</f>
        <v>0.17307238806443</v>
      </c>
      <c r="S82" s="24" t="n">
        <f aca="false">Drivers!$C$135*S81</f>
        <v>0.166521422603141</v>
      </c>
      <c r="T82" s="24" t="n">
        <f aca="false">Drivers!$C$135*T81</f>
        <v>0.164444643182078</v>
      </c>
      <c r="U82" s="24" t="n">
        <f aca="false">Drivers!$C$135*U81</f>
        <v>0.162344128678507</v>
      </c>
    </row>
    <row r="83" customFormat="false" ht="15" hidden="false" customHeight="false" outlineLevel="0" collapsed="false">
      <c r="A83" s="9" t="s">
        <v>371</v>
      </c>
      <c r="B83" s="35" t="s">
        <v>326</v>
      </c>
      <c r="C83" s="24" t="n">
        <f aca="false">Drivers!$C$136</f>
        <v>0.23</v>
      </c>
      <c r="D83" s="24" t="n">
        <f aca="false">Drivers!$C$136</f>
        <v>0.23</v>
      </c>
      <c r="E83" s="24" t="n">
        <f aca="false">Drivers!$C$136</f>
        <v>0.23</v>
      </c>
      <c r="F83" s="24" t="n">
        <f aca="false">Drivers!$C$136</f>
        <v>0.23</v>
      </c>
      <c r="G83" s="24" t="n">
        <f aca="false">Drivers!$C$136</f>
        <v>0.23</v>
      </c>
      <c r="H83" s="24" t="n">
        <f aca="false">Drivers!$C$136</f>
        <v>0.23</v>
      </c>
      <c r="I83" s="24" t="n">
        <f aca="false">0.8*I82</f>
        <v>0.11683636</v>
      </c>
      <c r="J83" s="24" t="n">
        <f aca="false">0.8*J82</f>
        <v>0.122968544</v>
      </c>
      <c r="K83" s="24" t="n">
        <f aca="false">0.8*K82</f>
        <v>0.12868285312</v>
      </c>
      <c r="L83" s="24" t="n">
        <f aca="false">0.8*L82</f>
        <v>0.1335593061376</v>
      </c>
      <c r="M83" s="24" t="n">
        <f aca="false">0.8*M82</f>
        <v>0.137770047374848</v>
      </c>
      <c r="N83" s="24" t="n">
        <f aca="false">0.8*N82</f>
        <v>0.140202506587351</v>
      </c>
      <c r="O83" s="24" t="n">
        <f aca="false">0.8*O82</f>
        <v>0.141909558855604</v>
      </c>
      <c r="P83" s="24" t="n">
        <f aca="false">0.8*P82</f>
        <v>0.139678740478492</v>
      </c>
      <c r="Q83" s="24" t="n">
        <f aca="false">0.8*Q82</f>
        <v>0.139403720868922</v>
      </c>
      <c r="R83" s="24" t="n">
        <f aca="false">0.8*R82</f>
        <v>0.138457910451544</v>
      </c>
      <c r="S83" s="24" t="n">
        <f aca="false">0.8*S82</f>
        <v>0.133217138082513</v>
      </c>
      <c r="T83" s="24" t="n">
        <f aca="false">0.8*T82</f>
        <v>0.131555714545663</v>
      </c>
      <c r="U83" s="24" t="n">
        <f aca="false">0.8*U82</f>
        <v>0.129875302942805</v>
      </c>
    </row>
    <row r="84" customFormat="false" ht="15" hidden="false" customHeight="false" outlineLevel="0" collapsed="false">
      <c r="A84" s="9" t="s">
        <v>372</v>
      </c>
      <c r="B84" s="35" t="s">
        <v>326</v>
      </c>
      <c r="C84" s="24" t="n">
        <f aca="false">Drivers!$C$82*(C81-Drivers!$C$35)</f>
        <v>-0.00312199999999998</v>
      </c>
      <c r="D84" s="24" t="n">
        <f aca="false">Drivers!$C$82*(D81-C81)</f>
        <v>0.020363</v>
      </c>
      <c r="E84" s="24" t="n">
        <f aca="false">Drivers!$C$82*(E81-D81)</f>
        <v>0.0294661249999999</v>
      </c>
      <c r="F84" s="24" t="n">
        <f aca="false">Drivers!$C$82*(F81-E81)</f>
        <v>0.0301505000000001</v>
      </c>
      <c r="G84" s="24" t="n">
        <f aca="false">Drivers!$C$82*(G81-F81)</f>
        <v>0.0398572999999999</v>
      </c>
      <c r="H84" s="24" t="n">
        <f aca="false">Drivers!$C$82*(H81-G81)</f>
        <v>0.020318725</v>
      </c>
      <c r="I84" s="24" t="n">
        <f aca="false">Drivers!$C$82*(I81-H81)</f>
        <v>0.024079975</v>
      </c>
      <c r="J84" s="24" t="n">
        <f aca="false">Drivers!$C$82*(J81-I81)</f>
        <v>0.019163075</v>
      </c>
      <c r="K84" s="24" t="n">
        <f aca="false">Drivers!$C$82*(K81-J81)</f>
        <v>0.017857216</v>
      </c>
      <c r="L84" s="24" t="n">
        <f aca="false">Drivers!$C$82*(L81-K81)</f>
        <v>0.01523891568</v>
      </c>
      <c r="M84" s="24" t="n">
        <f aca="false">Drivers!$C$82*(M81-L81)</f>
        <v>0.0131585663664001</v>
      </c>
      <c r="N84" s="24" t="n">
        <f aca="false">Drivers!$C$82*(N81-M81)</f>
        <v>0.00760143503907198</v>
      </c>
      <c r="O84" s="24" t="n">
        <f aca="false">Drivers!$C$82*(O81-N81)</f>
        <v>0.00533453833829061</v>
      </c>
      <c r="P84" s="24" t="n">
        <f aca="false">Drivers!$C$82*(P81-O81)</f>
        <v>-0.00697130742847527</v>
      </c>
      <c r="Q84" s="24" t="n">
        <f aca="false">Drivers!$C$82*(Q81-P81)</f>
        <v>-0.00085943627990579</v>
      </c>
      <c r="R84" s="24" t="n">
        <f aca="false">Drivers!$C$82*(R81-Q81)</f>
        <v>-0.00295565755430767</v>
      </c>
      <c r="S84" s="24" t="n">
        <f aca="false">Drivers!$C$82*(S81-R81)</f>
        <v>-0.0163774136532215</v>
      </c>
      <c r="T84" s="24" t="n">
        <f aca="false">Drivers!$C$82*(T81-S81)</f>
        <v>-0.00519194855265699</v>
      </c>
      <c r="U84" s="24" t="n">
        <f aca="false">Drivers!$C$82*(U81-T81)</f>
        <v>-0.0052512862589289</v>
      </c>
    </row>
    <row r="85" customFormat="false" ht="15" hidden="false" customHeight="false" outlineLevel="0" collapsed="false">
      <c r="A85" s="3" t="s">
        <v>373</v>
      </c>
      <c r="B85" s="35" t="s">
        <v>326</v>
      </c>
      <c r="C85" s="29" t="n">
        <f aca="false">C52+C68+C72+C76-C78-C80</f>
        <v>-1.9333658</v>
      </c>
      <c r="D85" s="29" t="n">
        <f aca="false">D52+D68+D72+D76-D78-D80</f>
        <v>-1.60501253333333</v>
      </c>
      <c r="E85" s="29" t="n">
        <f aca="false">E52+E68+E72+E76-E78-E80</f>
        <v>-1.36446149583333</v>
      </c>
      <c r="F85" s="29" t="n">
        <f aca="false">F52+F68+F72+F76-F78-F80</f>
        <v>-1.04455496833333</v>
      </c>
      <c r="G85" s="29" t="n">
        <f aca="false">G52+G68+G72+G76-G78-G80</f>
        <v>-0.5732333147</v>
      </c>
      <c r="H85" s="29" t="n">
        <f aca="false">H52+H68+H72+H76-H78-H80</f>
        <v>-0.397235417344</v>
      </c>
      <c r="I85" s="29" t="n">
        <f aca="false">I52+I68+I72+I76-I78-I80</f>
        <v>-0.22032627859088</v>
      </c>
      <c r="J85" s="29" t="n">
        <f aca="false">J52+J68+J72+J76-J78-J80</f>
        <v>-0.110125570412698</v>
      </c>
      <c r="K85" s="29" t="n">
        <f aca="false">K52+K68+K72+K76-K78-K80</f>
        <v>-0.00116747322095223</v>
      </c>
      <c r="L85" s="29" t="n">
        <f aca="false">L52+L68+L72+L76-L78-L80</f>
        <v>0.0548288592426292</v>
      </c>
      <c r="M85" s="29" t="n">
        <f aca="false">M52+M68+M72+M76-M78-M80</f>
        <v>0.170309158876922</v>
      </c>
      <c r="N85" s="29" t="n">
        <f aca="false">N52+N68+N72+N76-N78-N80</f>
        <v>0.167477847124911</v>
      </c>
      <c r="O85" s="29" t="n">
        <f aca="false">O52+O68+O72+O76-O78-O80</f>
        <v>0.151429651306451</v>
      </c>
      <c r="P85" s="29" t="n">
        <f aca="false">P52+P68+P72+P76-P78-P80</f>
        <v>0.0669324958768416</v>
      </c>
      <c r="Q85" s="29" t="n">
        <f aca="false">Q52+Q68+Q72+Q76-Q78-Q80</f>
        <v>0.0152656686077546</v>
      </c>
      <c r="R85" s="29" t="n">
        <f aca="false">R52+R68+R72+R76-R78-R80</f>
        <v>-0.0487338008129818</v>
      </c>
      <c r="S85" s="29" t="n">
        <f aca="false">S52+S68+S72+S76-S78-S80</f>
        <v>-0.183375129891275</v>
      </c>
      <c r="T85" s="29" t="n">
        <f aca="false">T52+T68+T72+T76-T78-T80</f>
        <v>-0.260857699371144</v>
      </c>
      <c r="U85" s="29" t="n">
        <f aca="false">U52+U68+U72+U76-U78-U80</f>
        <v>-0.339541750911781</v>
      </c>
    </row>
    <row r="86" customFormat="false" ht="15" hidden="false" customHeight="false" outlineLevel="0" collapsed="false">
      <c r="A86" s="9" t="s">
        <v>374</v>
      </c>
      <c r="B86" s="35" t="s">
        <v>326</v>
      </c>
      <c r="C86" s="24" t="n">
        <f aca="false">Drivers!$C$32</f>
        <v>12.5</v>
      </c>
      <c r="D86" s="24" t="n">
        <f aca="false">C89</f>
        <v>14.4333658</v>
      </c>
      <c r="E86" s="24" t="n">
        <f aca="false">D89</f>
        <v>16.0383783333333</v>
      </c>
      <c r="F86" s="24" t="n">
        <f aca="false">E89</f>
        <v>17.4028398291667</v>
      </c>
      <c r="G86" s="24" t="n">
        <f aca="false">F89</f>
        <v>18.4473947975</v>
      </c>
      <c r="H86" s="24" t="n">
        <f aca="false">G89</f>
        <v>19.0206281122</v>
      </c>
      <c r="I86" s="24" t="n">
        <f aca="false">H89</f>
        <v>19.417863529544</v>
      </c>
      <c r="J86" s="24" t="n">
        <f aca="false">I89</f>
        <v>19.6381898081349</v>
      </c>
      <c r="K86" s="24" t="n">
        <f aca="false">J89</f>
        <v>19.7483153785476</v>
      </c>
      <c r="L86" s="24" t="n">
        <f aca="false">K89</f>
        <v>19.7494828517685</v>
      </c>
      <c r="M86" s="24" t="n">
        <f aca="false">L89</f>
        <v>19.7056197643744</v>
      </c>
      <c r="N86" s="24" t="n">
        <f aca="false">M89</f>
        <v>19.5693724372729</v>
      </c>
      <c r="O86" s="24" t="n">
        <f aca="false">N89</f>
        <v>19.435390159573</v>
      </c>
      <c r="P86" s="24" t="n">
        <f aca="false">O89</f>
        <v>19.3142464385278</v>
      </c>
      <c r="Q86" s="24" t="n">
        <f aca="false">P89</f>
        <v>19.2607004418263</v>
      </c>
      <c r="R86" s="24" t="n">
        <f aca="false">Q89</f>
        <v>19.2484879069401</v>
      </c>
      <c r="S86" s="24" t="n">
        <f aca="false">R89</f>
        <v>19.2972217077531</v>
      </c>
      <c r="T86" s="24" t="n">
        <f aca="false">S89</f>
        <v>19.4805968376444</v>
      </c>
      <c r="U86" s="24" t="n">
        <f aca="false">T89</f>
        <v>19.7414545370155</v>
      </c>
    </row>
    <row r="87" customFormat="false" ht="15" hidden="false" customHeight="false" outlineLevel="0" collapsed="false">
      <c r="A87" s="9" t="s">
        <v>375</v>
      </c>
      <c r="B87" s="35" t="s">
        <v>326</v>
      </c>
      <c r="C87" s="24" t="n">
        <f aca="false">IF(C85&gt;0,MIN(C86,Drivers!$C$33*C85),0)</f>
        <v>0</v>
      </c>
      <c r="D87" s="24" t="n">
        <f aca="false">IF(D85&gt;0,MIN(D86,Drivers!$C$33*D85),0)</f>
        <v>0</v>
      </c>
      <c r="E87" s="24" t="n">
        <f aca="false">IF(E85&gt;0,MIN(E86,Drivers!$C$33*E85),0)</f>
        <v>0</v>
      </c>
      <c r="F87" s="24" t="n">
        <f aca="false">IF(F85&gt;0,MIN(F86,Drivers!$C$33*F85),0)</f>
        <v>0</v>
      </c>
      <c r="G87" s="24" t="n">
        <f aca="false">IF(G85&gt;0,MIN(G86,Drivers!$C$33*G85),0)</f>
        <v>0</v>
      </c>
      <c r="H87" s="24" t="n">
        <f aca="false">IF(H85&gt;0,MIN(H86,Drivers!$C$33*H85),0)</f>
        <v>0</v>
      </c>
      <c r="I87" s="24" t="n">
        <f aca="false">IF(I85&gt;0,MIN(I86,Drivers!$C$33*I85),0)</f>
        <v>0</v>
      </c>
      <c r="J87" s="24" t="n">
        <f aca="false">IF(J85&gt;0,MIN(J86,Drivers!$C$33*J85),0)</f>
        <v>0</v>
      </c>
      <c r="K87" s="24" t="n">
        <f aca="false">IF(K85&gt;0,MIN(K86,Drivers!$C$33*K85),0)</f>
        <v>0</v>
      </c>
      <c r="L87" s="24" t="n">
        <f aca="false">IF(L85&gt;0,MIN(L86,Drivers!$C$33*L85),0)</f>
        <v>0.0438630873941033</v>
      </c>
      <c r="M87" s="24" t="n">
        <f aca="false">IF(M85&gt;0,MIN(M86,Drivers!$C$33*M85),0)</f>
        <v>0.136247327101537</v>
      </c>
      <c r="N87" s="24" t="n">
        <f aca="false">IF(N85&gt;0,MIN(N86,Drivers!$C$33*N85),0)</f>
        <v>0.133982277699929</v>
      </c>
      <c r="O87" s="24" t="n">
        <f aca="false">IF(O85&gt;0,MIN(O86,Drivers!$C$33*O85),0)</f>
        <v>0.121143721045161</v>
      </c>
      <c r="P87" s="24" t="n">
        <f aca="false">IF(P85&gt;0,MIN(P86,Drivers!$C$33*P85),0)</f>
        <v>0.0535459967014733</v>
      </c>
      <c r="Q87" s="24" t="n">
        <f aca="false">IF(Q85&gt;0,MIN(Q86,Drivers!$C$33*Q85),0)</f>
        <v>0.0122125348862037</v>
      </c>
      <c r="R87" s="24" t="n">
        <f aca="false">IF(R85&gt;0,MIN(R86,Drivers!$C$33*R85),0)</f>
        <v>0</v>
      </c>
      <c r="S87" s="24" t="n">
        <f aca="false">IF(S85&gt;0,MIN(S86,Drivers!$C$33*S85),0)</f>
        <v>0</v>
      </c>
      <c r="T87" s="24" t="n">
        <f aca="false">IF(T85&gt;0,MIN(T86,Drivers!$C$33*T85),0)</f>
        <v>0</v>
      </c>
      <c r="U87" s="24" t="n">
        <f aca="false">IF(U85&gt;0,MIN(U86,Drivers!$C$33*U85),0)</f>
        <v>0</v>
      </c>
    </row>
    <row r="88" customFormat="false" ht="15" hidden="false" customHeight="false" outlineLevel="0" collapsed="false">
      <c r="A88" s="9" t="s">
        <v>376</v>
      </c>
      <c r="B88" s="35" t="s">
        <v>326</v>
      </c>
      <c r="C88" s="24" t="n">
        <f aca="false">IF(C85&gt;0,Drivers!$C$31*(C85-C87),0)</f>
        <v>0</v>
      </c>
      <c r="D88" s="24" t="n">
        <f aca="false">IF(D85&gt;0,Drivers!$C$31*(D85-D87),0)</f>
        <v>0</v>
      </c>
      <c r="E88" s="24" t="n">
        <f aca="false">IF(E85&gt;0,Drivers!$C$31*(E85-E87),0)</f>
        <v>0</v>
      </c>
      <c r="F88" s="24" t="n">
        <f aca="false">IF(F85&gt;0,Drivers!$C$31*(F85-F87),0)</f>
        <v>0</v>
      </c>
      <c r="G88" s="24" t="n">
        <f aca="false">IF(G85&gt;0,Drivers!$C$31*(G85-G87),0)</f>
        <v>0</v>
      </c>
      <c r="H88" s="24" t="n">
        <f aca="false">IF(H85&gt;0,Drivers!$C$31*(H85-H87),0)</f>
        <v>0</v>
      </c>
      <c r="I88" s="24" t="n">
        <f aca="false">IF(I85&gt;0,Drivers!$C$31*(I85-I87),0)</f>
        <v>0</v>
      </c>
      <c r="J88" s="24" t="n">
        <f aca="false">IF(J85&gt;0,Drivers!$C$31*(J85-J87),0)</f>
        <v>0</v>
      </c>
      <c r="K88" s="24" t="n">
        <f aca="false">IF(K85&gt;0,Drivers!$C$31*(K85-K87),0)</f>
        <v>0</v>
      </c>
      <c r="L88" s="24" t="n">
        <f aca="false">IF(L85&gt;0,Drivers!$C$31*(L85-L87),0)</f>
        <v>0.00208349665121991</v>
      </c>
      <c r="M88" s="24" t="n">
        <f aca="false">IF(M85&gt;0,Drivers!$C$31*(M85-M87),0)</f>
        <v>0.00647174803732302</v>
      </c>
      <c r="N88" s="24" t="n">
        <f aca="false">IF(N85&gt;0,Drivers!$C$31*(N85-N87),0)</f>
        <v>0.00636415819074662</v>
      </c>
      <c r="O88" s="24" t="n">
        <f aca="false">IF(O85&gt;0,Drivers!$C$31*(O85-O87),0)</f>
        <v>0.00575432674964515</v>
      </c>
      <c r="P88" s="24" t="n">
        <f aca="false">IF(P85&gt;0,Drivers!$C$31*(P85-P87),0)</f>
        <v>0.00254343484331998</v>
      </c>
      <c r="Q88" s="24" t="n">
        <f aca="false">IF(Q85&gt;0,Drivers!$C$31*(Q85-Q87),0)</f>
        <v>0.000580095407094674</v>
      </c>
      <c r="R88" s="24" t="n">
        <f aca="false">IF(R85&gt;0,Drivers!$C$31*(R85-R87),0)</f>
        <v>0</v>
      </c>
      <c r="S88" s="24" t="n">
        <f aca="false">IF(S85&gt;0,Drivers!$C$31*(S85-S87),0)</f>
        <v>0</v>
      </c>
      <c r="T88" s="24" t="n">
        <f aca="false">IF(T85&gt;0,Drivers!$C$31*(T85-T87),0)</f>
        <v>0</v>
      </c>
      <c r="U88" s="24" t="n">
        <f aca="false">IF(U85&gt;0,Drivers!$C$31*(U85-U87),0)</f>
        <v>0</v>
      </c>
    </row>
    <row r="89" customFormat="false" ht="15" hidden="false" customHeight="false" outlineLevel="0" collapsed="false">
      <c r="A89" s="9" t="s">
        <v>377</v>
      </c>
      <c r="B89" s="35" t="s">
        <v>326</v>
      </c>
      <c r="C89" s="24" t="n">
        <f aca="false">C86-C87+IF(C85&lt;0,-C85,0)</f>
        <v>14.4333658</v>
      </c>
      <c r="D89" s="24" t="n">
        <f aca="false">D86-D87+IF(D85&lt;0,-D85,0)</f>
        <v>16.0383783333333</v>
      </c>
      <c r="E89" s="24" t="n">
        <f aca="false">E86-E87+IF(E85&lt;0,-E85,0)</f>
        <v>17.4028398291667</v>
      </c>
      <c r="F89" s="24" t="n">
        <f aca="false">F86-F87+IF(F85&lt;0,-F85,0)</f>
        <v>18.4473947975</v>
      </c>
      <c r="G89" s="24" t="n">
        <f aca="false">G86-G87+IF(G85&lt;0,-G85,0)</f>
        <v>19.0206281122</v>
      </c>
      <c r="H89" s="24" t="n">
        <f aca="false">H86-H87+IF(H85&lt;0,-H85,0)</f>
        <v>19.417863529544</v>
      </c>
      <c r="I89" s="24" t="n">
        <f aca="false">I86-I87+IF(I85&lt;0,-I85,0)</f>
        <v>19.6381898081349</v>
      </c>
      <c r="J89" s="24" t="n">
        <f aca="false">J86-J87+IF(J85&lt;0,-J85,0)</f>
        <v>19.7483153785476</v>
      </c>
      <c r="K89" s="24" t="n">
        <f aca="false">K86-K87+IF(K85&lt;0,-K85,0)</f>
        <v>19.7494828517685</v>
      </c>
      <c r="L89" s="24" t="n">
        <f aca="false">L86-L87+IF(L85&lt;0,-L85,0)</f>
        <v>19.7056197643744</v>
      </c>
      <c r="M89" s="24" t="n">
        <f aca="false">M86-M87+IF(M85&lt;0,-M85,0)</f>
        <v>19.5693724372729</v>
      </c>
      <c r="N89" s="24" t="n">
        <f aca="false">N86-N87+IF(N85&lt;0,-N85,0)</f>
        <v>19.435390159573</v>
      </c>
      <c r="O89" s="24" t="n">
        <f aca="false">O86-O87+IF(O85&lt;0,-O85,0)</f>
        <v>19.3142464385278</v>
      </c>
      <c r="P89" s="24" t="n">
        <f aca="false">P86-P87+IF(P85&lt;0,-P85,0)</f>
        <v>19.2607004418263</v>
      </c>
      <c r="Q89" s="24" t="n">
        <f aca="false">Q86-Q87+IF(Q85&lt;0,-Q85,0)</f>
        <v>19.2484879069401</v>
      </c>
      <c r="R89" s="24" t="n">
        <f aca="false">R86-R87+IF(R85&lt;0,-R85,0)</f>
        <v>19.2972217077531</v>
      </c>
      <c r="S89" s="24" t="n">
        <f aca="false">S86-S87+IF(S85&lt;0,-S85,0)</f>
        <v>19.4805968376444</v>
      </c>
      <c r="T89" s="24" t="n">
        <f aca="false">T86-T87+IF(T85&lt;0,-T85,0)</f>
        <v>19.7414545370155</v>
      </c>
      <c r="U89" s="24" t="n">
        <f aca="false">U86-U87+IF(U85&lt;0,-U85,0)</f>
        <v>20.0809962879273</v>
      </c>
    </row>
    <row r="90" customFormat="false" ht="15" hidden="false" customHeight="false" outlineLevel="0" collapsed="false">
      <c r="A90" s="3" t="s">
        <v>378</v>
      </c>
      <c r="B90" s="35" t="s">
        <v>326</v>
      </c>
      <c r="C90" s="29" t="n">
        <f aca="false">C85-C88-(C82-C83)-C84</f>
        <v>-2.0002438</v>
      </c>
      <c r="D90" s="29" t="n">
        <f aca="false">D85-D88-(D82-D83)-D84</f>
        <v>-1.64537553333333</v>
      </c>
      <c r="E90" s="29" t="n">
        <f aca="false">E85-E88-(E82-E83)-E84</f>
        <v>-1.41392762083333</v>
      </c>
      <c r="F90" s="29" t="n">
        <f aca="false">F85-F88-(F82-F83)-F84</f>
        <v>-1.09470546833333</v>
      </c>
      <c r="G90" s="29" t="n">
        <f aca="false">G85-G88-(G82-G83)-G84</f>
        <v>-0.6330906147</v>
      </c>
      <c r="H90" s="29" t="n">
        <f aca="false">H85-H88-(H82-H83)-H84</f>
        <v>-0.437554142344</v>
      </c>
      <c r="I90" s="29" t="n">
        <f aca="false">I85-I88-(I82-I83)-I84</f>
        <v>-0.27361534359088</v>
      </c>
      <c r="J90" s="29" t="n">
        <f aca="false">J85-J88-(J82-J83)-J84</f>
        <v>-0.160030781412698</v>
      </c>
      <c r="K90" s="29" t="n">
        <f aca="false">K85-K88-(K82-K83)-K84</f>
        <v>-0.0511954025009523</v>
      </c>
      <c r="L90" s="29" t="n">
        <f aca="false">L85-L88-(L82-L83)-L84</f>
        <v>0.00411662037700923</v>
      </c>
      <c r="M90" s="29" t="n">
        <f aca="false">M85-M88-(M82-M83)-M84</f>
        <v>0.116236332629487</v>
      </c>
      <c r="N90" s="29" t="n">
        <f aca="false">N85-N88-(N82-N83)-N84</f>
        <v>0.118461627248255</v>
      </c>
      <c r="O90" s="29" t="n">
        <f aca="false">O85-O88-(O82-O83)-O84</f>
        <v>0.104863396504615</v>
      </c>
      <c r="P90" s="29" t="n">
        <f aca="false">P85-P88-(P82-P83)-P84</f>
        <v>0.0364406833423739</v>
      </c>
      <c r="Q90" s="29" t="n">
        <f aca="false">Q85-Q88-(Q82-Q83)-Q84</f>
        <v>-0.0193059207366648</v>
      </c>
      <c r="R90" s="29" t="n">
        <f aca="false">R85-R88-(R82-R83)-R84</f>
        <v>-0.0803926208715601</v>
      </c>
      <c r="S90" s="29" t="n">
        <f aca="false">S85-S88-(S82-S83)-S84</f>
        <v>-0.200302000758682</v>
      </c>
      <c r="T90" s="29" t="n">
        <f aca="false">T85-T88-(T82-T83)-T84</f>
        <v>-0.288554679454903</v>
      </c>
      <c r="U90" s="29" t="n">
        <f aca="false">U85-U88-(U82-U83)-U84</f>
        <v>-0.366759290388553</v>
      </c>
    </row>
    <row r="91" customFormat="false" ht="15" hidden="false" customHeight="false" outlineLevel="0" collapsed="false">
      <c r="A91" s="9" t="s">
        <v>379</v>
      </c>
      <c r="B91" s="35" t="s">
        <v>380</v>
      </c>
      <c r="C91" s="33" t="n">
        <f aca="false">0.25+C$36+0.5</f>
        <v>0.75</v>
      </c>
      <c r="D91" s="33" t="n">
        <f aca="false">0.25+D$36+0.5</f>
        <v>1.75</v>
      </c>
      <c r="E91" s="33" t="n">
        <f aca="false">0.25+E$36+0.5</f>
        <v>2.75</v>
      </c>
      <c r="F91" s="33" t="n">
        <f aca="false">0.25+F$36+0.5</f>
        <v>3.75</v>
      </c>
      <c r="G91" s="33" t="n">
        <f aca="false">0.25+G$36+0.5</f>
        <v>4.75</v>
      </c>
      <c r="H91" s="33" t="n">
        <f aca="false">0.25+H$36+0.5</f>
        <v>5.75</v>
      </c>
      <c r="I91" s="33" t="n">
        <f aca="false">0.25+I$36+0.5</f>
        <v>6.75</v>
      </c>
      <c r="J91" s="33" t="n">
        <f aca="false">0.25+J$36+0.5</f>
        <v>7.75</v>
      </c>
      <c r="K91" s="33" t="n">
        <f aca="false">0.25+K$36+0.5</f>
        <v>8.75</v>
      </c>
      <c r="L91" s="33" t="n">
        <f aca="false">0.25+L$36+0.5</f>
        <v>9.75</v>
      </c>
      <c r="M91" s="33" t="n">
        <f aca="false">0.25+M$36+0.5</f>
        <v>10.75</v>
      </c>
      <c r="N91" s="33" t="n">
        <f aca="false">0.25+N$36+0.5</f>
        <v>11.75</v>
      </c>
      <c r="O91" s="33" t="n">
        <f aca="false">0.25+O$36+0.5</f>
        <v>12.75</v>
      </c>
      <c r="P91" s="33" t="n">
        <f aca="false">0.25+P$36+0.5</f>
        <v>13.75</v>
      </c>
      <c r="Q91" s="33" t="n">
        <f aca="false">0.25+Q$36+0.5</f>
        <v>14.75</v>
      </c>
      <c r="R91" s="33" t="n">
        <f aca="false">0.25+R$36+0.5</f>
        <v>15.75</v>
      </c>
      <c r="S91" s="33" t="n">
        <f aca="false">0.25+S$36+0.5</f>
        <v>16.75</v>
      </c>
      <c r="T91" s="33" t="n">
        <f aca="false">0.25+T$36+0.5</f>
        <v>17.75</v>
      </c>
      <c r="U91" s="33" t="n">
        <f aca="false">0.25+U$36+0.5</f>
        <v>18.75</v>
      </c>
    </row>
    <row r="92" customFormat="false" ht="15" hidden="false" customHeight="false" outlineLevel="0" collapsed="false">
      <c r="A92" s="9" t="s">
        <v>381</v>
      </c>
      <c r="B92" s="35" t="s">
        <v>382</v>
      </c>
      <c r="C92" s="36" t="n">
        <f aca="false">(1+$C$19)^(-C91)</f>
        <v>0.928292188409754</v>
      </c>
      <c r="D92" s="36" t="n">
        <f aca="false">(1+$C$19)^(-D91)</f>
        <v>0.840615945313551</v>
      </c>
      <c r="E92" s="36" t="n">
        <f aca="false">(1+$C$19)^(-E91)</f>
        <v>0.761220633264105</v>
      </c>
      <c r="F92" s="36" t="n">
        <f aca="false">(1+$C$19)^(-F91)</f>
        <v>0.689324126835194</v>
      </c>
      <c r="G92" s="36" t="n">
        <f aca="false">(1+$C$19)^(-G91)</f>
        <v>0.624218171543235</v>
      </c>
      <c r="H92" s="36" t="n">
        <f aca="false">(1+$C$19)^(-H91)</f>
        <v>0.565261406812673</v>
      </c>
      <c r="I92" s="36" t="n">
        <f aca="false">(1+$C$19)^(-I91)</f>
        <v>0.511873047915125</v>
      </c>
      <c r="J92" s="36" t="n">
        <f aca="false">(1+$C$19)^(-J91)</f>
        <v>0.463527164642873</v>
      </c>
      <c r="K92" s="36" t="n">
        <f aca="false">(1+$C$19)^(-K91)</f>
        <v>0.419747500355767</v>
      </c>
      <c r="L92" s="36" t="n">
        <f aca="false">(1+$C$19)^(-L91)</f>
        <v>0.38010278036382</v>
      </c>
      <c r="M92" s="36" t="n">
        <f aca="false">(1+$C$19)^(-M91)</f>
        <v>0.344202463428254</v>
      </c>
      <c r="N92" s="36" t="n">
        <f aca="false">(1+$C$19)^(-N91)</f>
        <v>0.31169289452889</v>
      </c>
      <c r="O92" s="36" t="n">
        <f aca="false">(1+$C$19)^(-O91)</f>
        <v>0.282253820998723</v>
      </c>
      <c r="P92" s="36" t="n">
        <f aca="false">(1+$C$19)^(-P91)</f>
        <v>0.255595237705989</v>
      </c>
      <c r="Q92" s="36" t="n">
        <f aca="false">(1+$C$19)^(-Q91)</f>
        <v>0.23145453020555</v>
      </c>
      <c r="R92" s="36" t="n">
        <f aca="false">(1+$C$19)^(-R91)</f>
        <v>0.209593887716698</v>
      </c>
      <c r="S92" s="36" t="n">
        <f aca="false">(1+$C$19)^(-S91)</f>
        <v>0.189797960442541</v>
      </c>
      <c r="T92" s="36" t="n">
        <f aca="false">(1+$C$19)^(-T91)</f>
        <v>0.171871738153166</v>
      </c>
      <c r="U92" s="36" t="n">
        <f aca="false">(1+$C$19)^(-U91)</f>
        <v>0.155638629134444</v>
      </c>
    </row>
    <row r="93" customFormat="false" ht="15" hidden="false" customHeight="false" outlineLevel="0" collapsed="false">
      <c r="A93" s="9" t="s">
        <v>383</v>
      </c>
      <c r="B93" s="35" t="s">
        <v>326</v>
      </c>
      <c r="C93" s="24" t="n">
        <f aca="false">C90*C92</f>
        <v>-1.85681069445504</v>
      </c>
      <c r="D93" s="24" t="n">
        <f aca="false">D90*D92</f>
        <v>-1.38312890934879</v>
      </c>
      <c r="E93" s="24" t="n">
        <f aca="false">E90*E92</f>
        <v>-1.07631087892036</v>
      </c>
      <c r="F93" s="24" t="n">
        <f aca="false">F90*F92</f>
        <v>-0.754606891100587</v>
      </c>
      <c r="G93" s="24" t="n">
        <f aca="false">G90*G92</f>
        <v>-0.395186665929217</v>
      </c>
      <c r="H93" s="24" t="n">
        <f aca="false">H90*H92</f>
        <v>-0.247332470058082</v>
      </c>
      <c r="I93" s="24" t="n">
        <f aca="false">I90*I92</f>
        <v>-0.140056319880208</v>
      </c>
      <c r="J93" s="24" t="n">
        <f aca="false">J90*J92</f>
        <v>-0.0741786143638114</v>
      </c>
      <c r="K93" s="24" t="n">
        <f aca="false">K90*K92</f>
        <v>-0.0214891422294821</v>
      </c>
      <c r="L93" s="24" t="n">
        <f aca="false">L90*L92</f>
        <v>0.00156473885100357</v>
      </c>
      <c r="M93" s="24" t="n">
        <f aca="false">M90*M92</f>
        <v>0.0400088320309352</v>
      </c>
      <c r="N93" s="24" t="n">
        <f aca="false">N90*N92</f>
        <v>0.036923647487611</v>
      </c>
      <c r="O93" s="24" t="n">
        <f aca="false">O90*O92</f>
        <v>0.0295980943463317</v>
      </c>
      <c r="P93" s="24" t="n">
        <f aca="false">P90*P92</f>
        <v>0.00931406512106272</v>
      </c>
      <c r="Q93" s="24" t="n">
        <f aca="false">Q90*Q92</f>
        <v>-0.00446844281429034</v>
      </c>
      <c r="R93" s="24" t="n">
        <f aca="false">R90*R92</f>
        <v>-0.0168498019522049</v>
      </c>
      <c r="S93" s="24" t="n">
        <f aca="false">S90*S92</f>
        <v>-0.0380169112165582</v>
      </c>
      <c r="T93" s="24" t="n">
        <f aca="false">T90*T92</f>
        <v>-0.0495943943101438</v>
      </c>
      <c r="U93" s="24" t="n">
        <f aca="false">U90*U92</f>
        <v>-0.0570819131783957</v>
      </c>
    </row>
    <row r="94" customFormat="false" ht="15" hidden="false" customHeight="false" outlineLevel="0" collapsed="false">
      <c r="A94" s="9" t="s">
        <v>384</v>
      </c>
      <c r="B94" s="35" t="s">
        <v>326</v>
      </c>
      <c r="C94" s="24" t="n">
        <f aca="false">IF(C$35&lt;=2032,Drivers!$C$133*C80,C80)</f>
        <v>0.357</v>
      </c>
      <c r="D94" s="24" t="n">
        <f aca="false">IF(D$35&lt;=2032,Drivers!$C$133*D80,D80)</f>
        <v>0.342125</v>
      </c>
      <c r="E94" s="24" t="n">
        <f aca="false">IF(E$35&lt;=2032,Drivers!$C$133*E80,E80)</f>
        <v>0.3332</v>
      </c>
      <c r="F94" s="24" t="n">
        <f aca="false">IF(F$35&lt;=2032,Drivers!$C$133*F80,F80)</f>
        <v>0.32725</v>
      </c>
      <c r="G94" s="24" t="n">
        <f aca="false">IF(G$35&lt;=2032,Drivers!$C$133*G80,G80)</f>
        <v>0.32725</v>
      </c>
      <c r="H94" s="24" t="n">
        <f aca="false">IF(H$35&lt;=2032,Drivers!$C$133*H80,H80)</f>
        <v>0.32725</v>
      </c>
      <c r="I94" s="24" t="n">
        <f aca="false">IF(I$35&lt;=2032,Drivers!$C$133*I80,I80)</f>
        <v>0.9537</v>
      </c>
      <c r="J94" s="24" t="n">
        <f aca="false">IF(J$35&lt;=2032,Drivers!$C$133*J80,J80)</f>
        <v>0.972774</v>
      </c>
      <c r="K94" s="24" t="n">
        <f aca="false">IF(K$35&lt;=2032,Drivers!$C$133*K80,K80)</f>
        <v>0.99222948</v>
      </c>
      <c r="L94" s="24" t="n">
        <f aca="false">IF(L$35&lt;=2032,Drivers!$C$133*L80,L80)</f>
        <v>1.0120740696</v>
      </c>
      <c r="M94" s="24" t="n">
        <f aca="false">IF(M$35&lt;=2032,Drivers!$C$133*M80,M80)</f>
        <v>1.032315550992</v>
      </c>
      <c r="N94" s="24" t="n">
        <f aca="false">IF(N$35&lt;=2032,Drivers!$C$133*N80,N80)</f>
        <v>1.05296186201184</v>
      </c>
      <c r="O94" s="24" t="n">
        <f aca="false">IF(O$35&lt;=2032,Drivers!$C$133*O80,O80)</f>
        <v>1.07402109925208</v>
      </c>
      <c r="P94" s="24" t="n">
        <f aca="false">IF(P$35&lt;=2032,Drivers!$C$133*P80,P80)</f>
        <v>1.09550152123712</v>
      </c>
      <c r="Q94" s="24" t="n">
        <f aca="false">IF(Q$35&lt;=2032,Drivers!$C$133*Q80,Q80)</f>
        <v>1.11741155166186</v>
      </c>
      <c r="R94" s="24" t="n">
        <f aca="false">IF(R$35&lt;=2032,Drivers!$C$133*R80,R80)</f>
        <v>1.1397597826951</v>
      </c>
      <c r="S94" s="24" t="n">
        <f aca="false">IF(S$35&lt;=2032,Drivers!$C$133*S80,S80)</f>
        <v>1.162554978349</v>
      </c>
      <c r="T94" s="24" t="n">
        <f aca="false">IF(T$35&lt;=2032,Drivers!$C$133*T80,T80)</f>
        <v>1.18580607791598</v>
      </c>
      <c r="U94" s="24" t="n">
        <f aca="false">IF(U$35&lt;=2032,Drivers!$C$133*U80,U80)</f>
        <v>1.2095221994743</v>
      </c>
    </row>
    <row r="96" customFormat="false" ht="15" hidden="false" customHeight="false" outlineLevel="0" collapsed="false">
      <c r="A96" s="3" t="s">
        <v>385</v>
      </c>
    </row>
    <row r="97" customFormat="false" ht="15" hidden="false" customHeight="false" outlineLevel="0" collapsed="false">
      <c r="A97" s="9" t="s">
        <v>386</v>
      </c>
      <c r="C97" s="24" t="n">
        <f aca="false">Drivers!$C$34*(1+$C$19)^(-0.125)</f>
        <v>-0.454330557454128</v>
      </c>
    </row>
    <row r="98" customFormat="false" ht="15" hidden="false" customHeight="false" outlineLevel="0" collapsed="false">
      <c r="A98" s="9" t="s">
        <v>387</v>
      </c>
      <c r="C98" s="24" t="n">
        <f aca="false">SUM(C93:U93)</f>
        <v>-5.99770267192023</v>
      </c>
    </row>
    <row r="99" customFormat="false" ht="15" hidden="false" customHeight="false" outlineLevel="0" collapsed="false">
      <c r="A99" s="9" t="s">
        <v>388</v>
      </c>
      <c r="C99" s="24" t="n">
        <f aca="false">U90*(1+$C$20)/($C$19-$C$20)</f>
        <v>-3.17665527108196</v>
      </c>
    </row>
    <row r="100" customFormat="false" ht="15" hidden="false" customHeight="false" outlineLevel="0" collapsed="false">
      <c r="A100" s="9" t="s">
        <v>389</v>
      </c>
      <c r="C100" s="24" t="n">
        <f aca="false">$C$99*(1+$C$19)^(-19.25)</f>
        <v>-0.470483014223897</v>
      </c>
    </row>
    <row r="101" customFormat="false" ht="15" hidden="false" customHeight="false" outlineLevel="0" collapsed="false">
      <c r="A101" s="9" t="s">
        <v>390</v>
      </c>
      <c r="C101" s="24" t="n">
        <f aca="false">SUMPRODUCT(C94:U94,C92:U92)+U94*(1+$C$20)/($C$19-$C$20)*(1+$C$19)^(-19.25)</f>
        <v>7.15622065706497</v>
      </c>
    </row>
    <row r="102" customFormat="false" ht="15" hidden="false" customHeight="false" outlineLevel="0" collapsed="false">
      <c r="A102" s="9" t="s">
        <v>304</v>
      </c>
      <c r="C102" s="24" t="n">
        <f aca="false">$C$18*$C$101*(1-Drivers!$C$31)</f>
        <v>2.89826936611131</v>
      </c>
    </row>
    <row r="103" customFormat="false" ht="15" hidden="false" customHeight="false" outlineLevel="0" collapsed="false">
      <c r="A103" s="3" t="s">
        <v>391</v>
      </c>
      <c r="C103" s="29" t="n">
        <f aca="false">$C$97+$C$98+$C$100+$C$102</f>
        <v>-4.02424687748694</v>
      </c>
    </row>
    <row r="104" customFormat="false" ht="15" hidden="false" customHeight="false" outlineLevel="0" collapsed="false">
      <c r="A104" s="9" t="s">
        <v>392</v>
      </c>
      <c r="C104" s="11" t="n">
        <f aca="false">IF($C$103&gt;0,$C$100/$C$103,0)</f>
        <v>0</v>
      </c>
    </row>
    <row r="105" customFormat="false" ht="15" hidden="false" customHeight="false" outlineLevel="0" collapsed="false">
      <c r="A105" s="9" t="s">
        <v>393</v>
      </c>
      <c r="C105" s="24" t="n">
        <f aca="false">Drivers!$C$13*(Drivers!$C$14+Drivers!$C$15*Drivers!$C$16)*(1+$C$19)^(-Drivers!$C$17)</f>
        <v>0.765190618491352</v>
      </c>
    </row>
    <row r="106" customFormat="false" ht="15" hidden="false" customHeight="false" outlineLevel="0" collapsed="false">
      <c r="A106" s="9" t="s">
        <v>394</v>
      </c>
      <c r="C106" s="24" t="n">
        <f aca="false">Drivers!$C$7+Drivers!$C$8+Drivers!$C$12+$C$105+$C$21-Drivers!$C$18</f>
        <v>5.15219061849135</v>
      </c>
    </row>
    <row r="107" customFormat="false" ht="15" hidden="false" customHeight="false" outlineLevel="0" collapsed="false">
      <c r="A107" s="3" t="s">
        <v>395</v>
      </c>
      <c r="C107" s="29" t="n">
        <f aca="false">$C$103+Drivers!$C$6-$C$106</f>
        <v>-1.13643749597829</v>
      </c>
    </row>
    <row r="108" customFormat="false" ht="15" hidden="false" customHeight="false" outlineLevel="0" collapsed="false">
      <c r="A108" s="9" t="s">
        <v>396</v>
      </c>
      <c r="C108" s="13" t="n">
        <f aca="false">IF(($C$107)*1000/(Drivers!$C$19+Drivers!$C$22)&lt;=Drivers!$C$21,($C$107)*1000/(Drivers!$C$19+Drivers!$C$22),IF((($C$107)*1000+Drivers!$C$20*Drivers!$C$21)/(Drivers!$C$19+Drivers!$C$22+Drivers!$C$20)&lt;=Drivers!$C$10,(($C$107)*1000+Drivers!$C$20*Drivers!$C$21)/(Drivers!$C$19+Drivers!$C$22+Drivers!$C$20),(($C$107)*1000+Drivers!$C$20*Drivers!$C$21+Drivers!$C$11*Drivers!$C$10)/(Drivers!$C$19+Drivers!$C$22+Drivers!$C$20+Drivers!$C$11)))</f>
        <v>-2.75633639577563</v>
      </c>
    </row>
    <row r="109" customFormat="false" ht="15" hidden="false" customHeight="false" outlineLevel="0" collapsed="false">
      <c r="A109" s="3" t="s">
        <v>397</v>
      </c>
      <c r="C109" s="30" t="n">
        <f aca="false">MAX($C$108,Drivers!$C$141)</f>
        <v>6.90160125596957</v>
      </c>
    </row>
    <row r="110" customFormat="false" ht="15" hidden="false" customHeight="false" outlineLevel="0" collapsed="false">
      <c r="A110" s="9" t="s">
        <v>398</v>
      </c>
      <c r="C110" s="33" t="n">
        <f aca="false">($C$107)*1000/$C$108</f>
        <v>412.3</v>
      </c>
    </row>
    <row r="111" customFormat="false" ht="15" hidden="false" customHeight="false" outlineLevel="0" collapsed="false">
      <c r="A111" s="9" t="s">
        <v>399</v>
      </c>
      <c r="C111" s="11" t="n">
        <f aca="false">$C$109/Drivers!$C$5-1</f>
        <v>-0.965318586653419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5" topLeftCell="C36" activePane="bottomRight" state="frozen"/>
      <selection pane="topLeft" activeCell="A1" activeCellId="0" sqref="A1"/>
      <selection pane="topRight" activeCell="C1" activeCellId="0" sqref="C1"/>
      <selection pane="bottomLeft" activeCell="A36" activeCellId="0" sqref="A3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6"/>
    <col collapsed="false" customWidth="true" hidden="false" outlineLevel="0" max="21" min="3" style="0" width="9"/>
  </cols>
  <sheetData>
    <row r="1" customFormat="false" ht="17.35" hidden="false" customHeight="false" outlineLevel="0" collapsed="false">
      <c r="A1" s="1" t="s">
        <v>401</v>
      </c>
    </row>
    <row r="2" customFormat="false" ht="15" hidden="false" customHeight="false" outlineLevel="0" collapsed="false">
      <c r="A2" s="3" t="s">
        <v>317</v>
      </c>
      <c r="C2" s="28" t="n">
        <v>3</v>
      </c>
    </row>
    <row r="4" customFormat="false" ht="15" hidden="false" customHeight="false" outlineLevel="0" collapsed="false">
      <c r="A4" s="3" t="s">
        <v>318</v>
      </c>
    </row>
    <row r="5" customFormat="false" ht="15" hidden="false" customHeight="false" outlineLevel="0" collapsed="false">
      <c r="A5" s="9" t="s">
        <v>149</v>
      </c>
      <c r="C5" s="22" t="n">
        <f aca="false">INDEX(Drivers!$D$39:$H$39,$C$2)</f>
        <v>1</v>
      </c>
    </row>
    <row r="6" customFormat="false" ht="15" hidden="false" customHeight="false" outlineLevel="0" collapsed="false">
      <c r="A6" s="9" t="s">
        <v>150</v>
      </c>
      <c r="C6" s="22" t="n">
        <f aca="false">INDEX(Drivers!$D$40:$H$40,$C$2)</f>
        <v>1</v>
      </c>
    </row>
    <row r="7" customFormat="false" ht="15" hidden="false" customHeight="false" outlineLevel="0" collapsed="false">
      <c r="A7" s="9" t="s">
        <v>151</v>
      </c>
      <c r="C7" s="22" t="n">
        <f aca="false">INDEX(Drivers!$D$41:$H$41,$C$2)</f>
        <v>1</v>
      </c>
    </row>
    <row r="8" customFormat="false" ht="15" hidden="false" customHeight="false" outlineLevel="0" collapsed="false">
      <c r="A8" s="9" t="s">
        <v>152</v>
      </c>
      <c r="C8" s="6" t="n">
        <f aca="false">INDEX(Drivers!$D$42:$H$42,$C$2)</f>
        <v>0.3</v>
      </c>
    </row>
    <row r="9" customFormat="false" ht="15" hidden="false" customHeight="false" outlineLevel="0" collapsed="false">
      <c r="A9" s="9" t="s">
        <v>153</v>
      </c>
      <c r="C9" s="6" t="n">
        <f aca="false">INDEX(Drivers!$D$43:$H$43,$C$2)</f>
        <v>0</v>
      </c>
    </row>
    <row r="10" customFormat="false" ht="15" hidden="false" customHeight="false" outlineLevel="0" collapsed="false">
      <c r="A10" s="9" t="s">
        <v>154</v>
      </c>
      <c r="C10" s="6" t="n">
        <f aca="false">INDEX(Drivers!$D$44:$H$44,$C$2)</f>
        <v>0.88</v>
      </c>
    </row>
    <row r="11" customFormat="false" ht="15" hidden="false" customHeight="false" outlineLevel="0" collapsed="false">
      <c r="A11" s="9" t="s">
        <v>155</v>
      </c>
      <c r="C11" s="22" t="n">
        <f aca="false">INDEX(Drivers!$D$45:$H$45,$C$2)</f>
        <v>2.8</v>
      </c>
    </row>
    <row r="12" customFormat="false" ht="15" hidden="false" customHeight="false" outlineLevel="0" collapsed="false">
      <c r="A12" s="9" t="s">
        <v>156</v>
      </c>
      <c r="C12" s="31" t="n">
        <f aca="false">INDEX(Drivers!$D$46:$H$46,$C$2)</f>
        <v>2027</v>
      </c>
    </row>
    <row r="13" customFormat="false" ht="15" hidden="false" customHeight="false" outlineLevel="0" collapsed="false">
      <c r="A13" s="9" t="s">
        <v>157</v>
      </c>
      <c r="C13" s="22" t="n">
        <f aca="false">INDEX(Drivers!$D$47:$H$47,$C$2)</f>
        <v>1</v>
      </c>
    </row>
    <row r="14" customFormat="false" ht="15" hidden="false" customHeight="false" outlineLevel="0" collapsed="false">
      <c r="A14" s="9" t="s">
        <v>158</v>
      </c>
      <c r="C14" s="22" t="n">
        <f aca="false">INDEX(Drivers!$D$48:$H$48,$C$2)</f>
        <v>1</v>
      </c>
    </row>
    <row r="15" customFormat="false" ht="15" hidden="false" customHeight="false" outlineLevel="0" collapsed="false">
      <c r="A15" s="9" t="s">
        <v>159</v>
      </c>
      <c r="C15" s="22" t="n">
        <f aca="false">INDEX(Drivers!$D$49:$H$49,$C$2)</f>
        <v>1</v>
      </c>
    </row>
    <row r="16" customFormat="false" ht="15" hidden="false" customHeight="false" outlineLevel="0" collapsed="false">
      <c r="A16" s="9" t="s">
        <v>160</v>
      </c>
      <c r="C16" s="6" t="n">
        <f aca="false">INDEX(Drivers!$D$50:$H$50,$C$2)</f>
        <v>0.55</v>
      </c>
    </row>
    <row r="17" customFormat="false" ht="15" hidden="false" customHeight="false" outlineLevel="0" collapsed="false">
      <c r="A17" s="9" t="s">
        <v>161</v>
      </c>
      <c r="C17" s="22" t="n">
        <f aca="false">INDEX(Drivers!$D$51:$H$51,$C$2)</f>
        <v>1</v>
      </c>
    </row>
    <row r="18" customFormat="false" ht="15" hidden="false" customHeight="false" outlineLevel="0" collapsed="false">
      <c r="A18" s="9" t="s">
        <v>162</v>
      </c>
      <c r="C18" s="22" t="n">
        <f aca="false">INDEX(Drivers!$D$52:$H$52,$C$2)</f>
        <v>0.75</v>
      </c>
    </row>
    <row r="19" customFormat="false" ht="15" hidden="false" customHeight="false" outlineLevel="0" collapsed="false">
      <c r="A19" s="9" t="s">
        <v>163</v>
      </c>
      <c r="C19" s="6" t="n">
        <f aca="false">INDEX(Drivers!$D$53:$H$53,$C$2)</f>
        <v>0.1043</v>
      </c>
    </row>
    <row r="20" customFormat="false" ht="15" hidden="false" customHeight="false" outlineLevel="0" collapsed="false">
      <c r="A20" s="9" t="s">
        <v>164</v>
      </c>
      <c r="C20" s="6" t="n">
        <f aca="false">INDEX(Drivers!$D$54:$H$54,$C$2)</f>
        <v>0</v>
      </c>
    </row>
    <row r="21" customFormat="false" ht="15" hidden="false" customHeight="false" outlineLevel="0" collapsed="false">
      <c r="A21" s="9" t="s">
        <v>165</v>
      </c>
      <c r="C21" s="22" t="n">
        <f aca="false">INDEX(Drivers!$D$55:$H$55,$C$2)</f>
        <v>0.5</v>
      </c>
    </row>
    <row r="22" customFormat="false" ht="15" hidden="false" customHeight="false" outlineLevel="0" collapsed="false">
      <c r="A22" s="3" t="s">
        <v>319</v>
      </c>
    </row>
    <row r="23" customFormat="false" ht="15" hidden="false" customHeight="false" outlineLevel="0" collapsed="false">
      <c r="A23" s="8" t="s">
        <v>215</v>
      </c>
      <c r="B23" s="8"/>
      <c r="C23" s="8" t="s">
        <v>217</v>
      </c>
      <c r="D23" s="8" t="s">
        <v>320</v>
      </c>
      <c r="E23" s="8" t="s">
        <v>219</v>
      </c>
    </row>
    <row r="24" customFormat="false" ht="15" hidden="false" customHeight="false" outlineLevel="0" collapsed="false">
      <c r="A24" s="5" t="str">
        <f aca="false">Drivers!$B$95</f>
        <v>Adjuvant melanoma IIB-IV (INTerpath-001)</v>
      </c>
      <c r="C24" s="32" t="n">
        <f aca="false">$C$12</f>
        <v>2027</v>
      </c>
      <c r="D24" s="33" t="n">
        <f aca="false">$C$11</f>
        <v>2.8</v>
      </c>
      <c r="E24" s="11" t="n">
        <f aca="false">$C$10</f>
        <v>0.88</v>
      </c>
    </row>
    <row r="25" customFormat="false" ht="15" hidden="false" customHeight="false" outlineLevel="0" collapsed="false">
      <c r="A25" s="5" t="str">
        <f aca="false">Drivers!$B$96</f>
        <v>Adjuvant NSCLC II-IIIB (INTerpath-002)</v>
      </c>
      <c r="C25" s="31" t="n">
        <f aca="false">Drivers!$D$96</f>
        <v>2031</v>
      </c>
      <c r="D25" s="33" t="n">
        <f aca="false">Drivers!$E$96*$C$14</f>
        <v>4</v>
      </c>
      <c r="E25" s="11" t="n">
        <f aca="false">MIN(Drivers!$F$96*$C$13,IF($C$13&gt;=10,1,0.95))</f>
        <v>0.45</v>
      </c>
    </row>
    <row r="26" customFormat="false" ht="15" hidden="false" customHeight="false" outlineLevel="0" collapsed="false">
      <c r="A26" s="5" t="str">
        <f aca="false">Drivers!$B$97</f>
        <v>Post-neoadjuvant non-pCR NSCLC (INTerpath-009)</v>
      </c>
      <c r="C26" s="31" t="n">
        <f aca="false">Drivers!$D$97</f>
        <v>2034</v>
      </c>
      <c r="D26" s="33" t="n">
        <f aca="false">Drivers!$E$97*$C$14</f>
        <v>1.5</v>
      </c>
      <c r="E26" s="11" t="n">
        <f aca="false">MIN(Drivers!$F$97*$C$13,IF($C$13&gt;=10,1,0.95))</f>
        <v>0.4</v>
      </c>
    </row>
    <row r="27" customFormat="false" ht="15" hidden="false" customHeight="false" outlineLevel="0" collapsed="false">
      <c r="A27" s="5" t="str">
        <f aca="false">Drivers!$B$98</f>
        <v>Resected stage I NSCLC (INTerpath-014)</v>
      </c>
      <c r="C27" s="31" t="n">
        <f aca="false">Drivers!$D$98</f>
        <v>2035</v>
      </c>
      <c r="D27" s="33" t="n">
        <f aca="false">Drivers!$E$98*$C$14</f>
        <v>2.5</v>
      </c>
      <c r="E27" s="11" t="n">
        <f aca="false">MIN(Drivers!$F$98*$C$13,IF($C$13&gt;=10,1,0.95))</f>
        <v>0.35</v>
      </c>
    </row>
    <row r="28" customFormat="false" ht="15" hidden="false" customHeight="false" outlineLevel="0" collapsed="false">
      <c r="A28" s="5" t="str">
        <f aca="false">Drivers!$B$99</f>
        <v>Adjuvant RCC (INTerpath-004)</v>
      </c>
      <c r="C28" s="31" t="n">
        <f aca="false">Drivers!$D$99</f>
        <v>2031</v>
      </c>
      <c r="D28" s="33" t="n">
        <f aca="false">Drivers!$E$99*$C$14</f>
        <v>1.2</v>
      </c>
      <c r="E28" s="11" t="n">
        <f aca="false">MIN(Drivers!$F$99*$C$13,IF($C$13&gt;=10,1,0.95))</f>
        <v>0.25</v>
      </c>
    </row>
    <row r="29" customFormat="false" ht="15" hidden="false" customHeight="false" outlineLevel="0" collapsed="false">
      <c r="A29" s="5" t="str">
        <f aca="false">Drivers!$B$100</f>
        <v>MIBC adjuvant (INTerpath-005)</v>
      </c>
      <c r="C29" s="31" t="n">
        <f aca="false">Drivers!$D$100</f>
        <v>2033</v>
      </c>
      <c r="D29" s="33" t="n">
        <f aca="false">Drivers!$E$100*$C$14</f>
        <v>1</v>
      </c>
      <c r="E29" s="11" t="n">
        <f aca="false">MIN(Drivers!$F$100*$C$13,IF($C$13&gt;=10,1,0.95))</f>
        <v>0.2</v>
      </c>
    </row>
    <row r="30" customFormat="false" ht="15" hidden="false" customHeight="false" outlineLevel="0" collapsed="false">
      <c r="A30" s="5" t="str">
        <f aca="false">Drivers!$B$101</f>
        <v>NMIBC + BCG (INTerpath-011)</v>
      </c>
      <c r="C30" s="31" t="n">
        <f aca="false">Drivers!$D$101</f>
        <v>2034</v>
      </c>
      <c r="D30" s="33" t="n">
        <f aca="false">Drivers!$E$101*$C$14</f>
        <v>1</v>
      </c>
      <c r="E30" s="11" t="n">
        <f aca="false">MIN(Drivers!$F$101*$C$13,IF($C$13&gt;=10,1,0.95))</f>
        <v>0.15</v>
      </c>
    </row>
    <row r="31" customFormat="false" ht="15" hidden="false" customHeight="false" outlineLevel="0" collapsed="false">
      <c r="A31" s="5" t="str">
        <f aca="false">Drivers!$B$102</f>
        <v>1L advanced melanoma (INTerpath-012)</v>
      </c>
      <c r="C31" s="31" t="n">
        <f aca="false">Drivers!$D$102</f>
        <v>2031</v>
      </c>
      <c r="D31" s="33" t="n">
        <f aca="false">Drivers!$E$102*$C$14</f>
        <v>0.8</v>
      </c>
      <c r="E31" s="11" t="n">
        <f aca="false">MIN(Drivers!$F$102*$C$13,IF($C$13&gt;=10,1,0.95))</f>
        <v>0.2</v>
      </c>
    </row>
    <row r="32" customFormat="false" ht="15" hidden="false" customHeight="false" outlineLevel="0" collapsed="false">
      <c r="A32" s="5" t="str">
        <f aca="false">Drivers!$B$103</f>
        <v>1L metastatic squamous NSCLC (INTerpath-013)</v>
      </c>
      <c r="C32" s="31" t="n">
        <f aca="false">Drivers!$D$103</f>
        <v>2032</v>
      </c>
      <c r="D32" s="33" t="n">
        <f aca="false">Drivers!$E$103*$C$14</f>
        <v>1.2</v>
      </c>
      <c r="E32" s="11" t="n">
        <f aca="false">MIN(Drivers!$F$103*$C$13,IF($C$13&gt;=10,1,0.95))</f>
        <v>0.15</v>
      </c>
    </row>
    <row r="33" customFormat="false" ht="15" hidden="false" customHeight="false" outlineLevel="0" collapsed="false">
      <c r="A33" s="5" t="str">
        <f aca="false">Drivers!$B$104</f>
        <v>Other solid tumours - future INT indications (pre-Ph2)</v>
      </c>
      <c r="C33" s="31" t="n">
        <f aca="false">Drivers!$D$104</f>
        <v>2035</v>
      </c>
      <c r="D33" s="33" t="n">
        <f aca="false">Drivers!$E$104*$C$14</f>
        <v>6</v>
      </c>
      <c r="E33" s="11" t="n">
        <f aca="false">MIN(Drivers!$F$104*$C$13,IF($C$13&gt;=10,1,0.95))</f>
        <v>0.1</v>
      </c>
    </row>
    <row r="35" customFormat="false" ht="15" hidden="false" customHeight="false" outlineLevel="0" collapsed="false">
      <c r="A35" s="3" t="s">
        <v>321</v>
      </c>
      <c r="B35" s="3" t="s">
        <v>322</v>
      </c>
      <c r="C35" s="34" t="n">
        <v>2027</v>
      </c>
      <c r="D35" s="34" t="n">
        <v>2028</v>
      </c>
      <c r="E35" s="34" t="n">
        <v>2029</v>
      </c>
      <c r="F35" s="34" t="n">
        <v>2030</v>
      </c>
      <c r="G35" s="34" t="n">
        <v>2031</v>
      </c>
      <c r="H35" s="34" t="n">
        <v>2032</v>
      </c>
      <c r="I35" s="34" t="n">
        <v>2033</v>
      </c>
      <c r="J35" s="34" t="n">
        <v>2034</v>
      </c>
      <c r="K35" s="34" t="n">
        <v>2035</v>
      </c>
      <c r="L35" s="34" t="n">
        <v>2036</v>
      </c>
      <c r="M35" s="34" t="n">
        <v>2037</v>
      </c>
      <c r="N35" s="34" t="n">
        <v>2038</v>
      </c>
      <c r="O35" s="34" t="n">
        <v>2039</v>
      </c>
      <c r="P35" s="34" t="n">
        <v>2040</v>
      </c>
      <c r="Q35" s="34" t="n">
        <v>2041</v>
      </c>
      <c r="R35" s="34" t="n">
        <v>2042</v>
      </c>
      <c r="S35" s="34" t="n">
        <v>2043</v>
      </c>
      <c r="T35" s="34" t="n">
        <v>2044</v>
      </c>
      <c r="U35" s="34" t="n">
        <v>2045</v>
      </c>
    </row>
    <row r="36" customFormat="false" ht="15" hidden="false" customHeight="false" outlineLevel="0" collapsed="false">
      <c r="A36" s="9" t="s">
        <v>323</v>
      </c>
      <c r="C36" s="32" t="n">
        <v>0</v>
      </c>
      <c r="D36" s="32" t="n">
        <v>1</v>
      </c>
      <c r="E36" s="32" t="n">
        <v>2</v>
      </c>
      <c r="F36" s="32" t="n">
        <v>3</v>
      </c>
      <c r="G36" s="32" t="n">
        <v>4</v>
      </c>
      <c r="H36" s="32" t="n">
        <v>5</v>
      </c>
      <c r="I36" s="32" t="n">
        <v>6</v>
      </c>
      <c r="J36" s="32" t="n">
        <v>7</v>
      </c>
      <c r="K36" s="32" t="n">
        <v>8</v>
      </c>
      <c r="L36" s="32" t="n">
        <v>9</v>
      </c>
      <c r="M36" s="32" t="n">
        <v>10</v>
      </c>
      <c r="N36" s="32" t="n">
        <v>11</v>
      </c>
      <c r="O36" s="32" t="n">
        <v>12</v>
      </c>
      <c r="P36" s="32" t="n">
        <v>13</v>
      </c>
      <c r="Q36" s="32" t="n">
        <v>14</v>
      </c>
      <c r="R36" s="32" t="n">
        <v>15</v>
      </c>
      <c r="S36" s="32" t="n">
        <v>16</v>
      </c>
      <c r="T36" s="32" t="n">
        <v>17</v>
      </c>
      <c r="U36" s="32" t="n">
        <v>18</v>
      </c>
    </row>
    <row r="37" customFormat="false" ht="15" hidden="false" customHeight="false" outlineLevel="0" collapsed="false">
      <c r="A37" s="3" t="s">
        <v>324</v>
      </c>
    </row>
    <row r="38" customFormat="false" ht="15" hidden="false" customHeight="false" outlineLevel="0" collapsed="false">
      <c r="A38" s="9" t="s">
        <v>325</v>
      </c>
      <c r="B38" s="35" t="s">
        <v>326</v>
      </c>
      <c r="C38" s="24" t="n">
        <f aca="false">Drivers!$D$60*$C$5</f>
        <v>1.85</v>
      </c>
      <c r="D38" s="24" t="n">
        <f aca="false">Drivers!$E$60*$C$5</f>
        <v>1.7</v>
      </c>
      <c r="E38" s="24" t="n">
        <f aca="false">Drivers!$F$60*$C$5</f>
        <v>1.55</v>
      </c>
      <c r="F38" s="24" t="n">
        <f aca="false">Drivers!$G$60*$C$5</f>
        <v>1.45</v>
      </c>
      <c r="G38" s="24" t="n">
        <f aca="false">Drivers!$H$60*$C$5</f>
        <v>1.38</v>
      </c>
      <c r="H38" s="24" t="n">
        <f aca="false">Drivers!$I$60*$C$5</f>
        <v>1.3</v>
      </c>
      <c r="I38" s="24" t="n">
        <f aca="false">H38*(1+Drivers!$C$61)</f>
        <v>1.274</v>
      </c>
      <c r="J38" s="24" t="n">
        <f aca="false">I38*(1+Drivers!$C$61)</f>
        <v>1.24852</v>
      </c>
      <c r="K38" s="24" t="n">
        <f aca="false">J38*(1+Drivers!$C$61)</f>
        <v>1.2235496</v>
      </c>
      <c r="L38" s="24" t="n">
        <f aca="false">K38*(1+Drivers!$C$61)</f>
        <v>1.199078608</v>
      </c>
      <c r="M38" s="24" t="n">
        <f aca="false">L38*(1+Drivers!$C$61)</f>
        <v>1.17509703584</v>
      </c>
      <c r="N38" s="24" t="n">
        <f aca="false">M38*(1+Drivers!$C$61)</f>
        <v>1.1515950951232</v>
      </c>
      <c r="O38" s="24" t="n">
        <f aca="false">N38*(1+Drivers!$C$61)</f>
        <v>1.12856319322074</v>
      </c>
      <c r="P38" s="24" t="n">
        <f aca="false">O38*(1+Drivers!$C$61)</f>
        <v>1.10599192935632</v>
      </c>
      <c r="Q38" s="24" t="n">
        <f aca="false">P38*(1+Drivers!$C$61)</f>
        <v>1.0838720907692</v>
      </c>
      <c r="R38" s="24" t="n">
        <f aca="false">Q38*(1+Drivers!$C$61)</f>
        <v>1.06219464895381</v>
      </c>
      <c r="S38" s="24" t="n">
        <f aca="false">R38*(1+Drivers!$C$61)</f>
        <v>1.04095075597473</v>
      </c>
      <c r="T38" s="24" t="n">
        <f aca="false">S38*(1+Drivers!$C$61)</f>
        <v>1.02013174085524</v>
      </c>
      <c r="U38" s="24" t="n">
        <f aca="false">T38*(1+Drivers!$C$61)</f>
        <v>0.999729106038135</v>
      </c>
    </row>
    <row r="39" customFormat="false" ht="15" hidden="false" customHeight="false" outlineLevel="0" collapsed="false">
      <c r="A39" s="9" t="s">
        <v>327</v>
      </c>
      <c r="B39" s="35" t="s">
        <v>326</v>
      </c>
      <c r="C39" s="24" t="n">
        <f aca="false">Drivers!$C$62*IF((C$35-Drivers!$C$63)&lt;0,0,MIN(((C$35-Drivers!$C$63)+1)/Drivers!$C$64,1))*$C$6</f>
        <v>0.16</v>
      </c>
      <c r="D39" s="24" t="n">
        <f aca="false">Drivers!$C$62*IF((D$35-Drivers!$C$63)&lt;0,0,MIN(((D$35-Drivers!$C$63)+1)/Drivers!$C$64,1))*$C$6</f>
        <v>0.32</v>
      </c>
      <c r="E39" s="24" t="n">
        <f aca="false">Drivers!$C$62*IF((E$35-Drivers!$C$63)&lt;0,0,MIN(((E$35-Drivers!$C$63)+1)/Drivers!$C$64,1))*$C$6</f>
        <v>0.48</v>
      </c>
      <c r="F39" s="24" t="n">
        <f aca="false">Drivers!$C$62*IF((F$35-Drivers!$C$63)&lt;0,0,MIN(((F$35-Drivers!$C$63)+1)/Drivers!$C$64,1))*$C$6</f>
        <v>0.64</v>
      </c>
      <c r="G39" s="24" t="n">
        <f aca="false">Drivers!$C$62*IF((G$35-Drivers!$C$63)&lt;0,0,MIN(((G$35-Drivers!$C$63)+1)/Drivers!$C$64,1))*$C$6</f>
        <v>0.8</v>
      </c>
      <c r="H39" s="24" t="n">
        <f aca="false">Drivers!$C$62*IF((H$35-Drivers!$C$63)&lt;0,0,MIN(((H$35-Drivers!$C$63)+1)/Drivers!$C$64,1))*$C$6</f>
        <v>0.8</v>
      </c>
      <c r="I39" s="24" t="n">
        <f aca="false">Drivers!$C$62*IF((I$35-Drivers!$C$63)&lt;0,0,MIN(((I$35-Drivers!$C$63)+1)/Drivers!$C$64,1))*$C$6</f>
        <v>0.8</v>
      </c>
      <c r="J39" s="24" t="n">
        <f aca="false">Drivers!$C$62*IF((J$35-Drivers!$C$63)&lt;0,0,MIN(((J$35-Drivers!$C$63)+1)/Drivers!$C$64,1))*$C$6</f>
        <v>0.8</v>
      </c>
      <c r="K39" s="24" t="n">
        <f aca="false">Drivers!$C$62*IF((K$35-Drivers!$C$63)&lt;0,0,MIN(((K$35-Drivers!$C$63)+1)/Drivers!$C$64,1))*$C$6</f>
        <v>0.8</v>
      </c>
      <c r="L39" s="24" t="n">
        <f aca="false">Drivers!$C$62*IF((L$35-Drivers!$C$63)&lt;0,0,MIN(((L$35-Drivers!$C$63)+1)/Drivers!$C$64,1))*$C$6</f>
        <v>0.8</v>
      </c>
      <c r="M39" s="24" t="n">
        <f aca="false">Drivers!$C$62*IF((M$35-Drivers!$C$63)&lt;0,0,MIN(((M$35-Drivers!$C$63)+1)/Drivers!$C$64,1))*$C$6</f>
        <v>0.8</v>
      </c>
      <c r="N39" s="24" t="n">
        <f aca="false">Drivers!$C$62*IF((N$35-Drivers!$C$63)&lt;0,0,MIN(((N$35-Drivers!$C$63)+1)/Drivers!$C$64,1))*$C$6</f>
        <v>0.8</v>
      </c>
      <c r="O39" s="24" t="n">
        <f aca="false">Drivers!$C$62*IF((O$35-Drivers!$C$63)&lt;0,0,MIN(((O$35-Drivers!$C$63)+1)/Drivers!$C$64,1))*$C$6</f>
        <v>0.8</v>
      </c>
      <c r="P39" s="24" t="n">
        <f aca="false">Drivers!$C$62*IF((P$35-Drivers!$C$63)&lt;0,0,MIN(((P$35-Drivers!$C$63)+1)/Drivers!$C$64,1))*$C$6</f>
        <v>0.8</v>
      </c>
      <c r="Q39" s="24" t="n">
        <f aca="false">Drivers!$C$62*IF((Q$35-Drivers!$C$63)&lt;0,0,MIN(((Q$35-Drivers!$C$63)+1)/Drivers!$C$64,1))*$C$6</f>
        <v>0.8</v>
      </c>
      <c r="R39" s="24" t="n">
        <f aca="false">Drivers!$C$62*IF((R$35-Drivers!$C$63)&lt;0,0,MIN(((R$35-Drivers!$C$63)+1)/Drivers!$C$64,1))*$C$6</f>
        <v>0.8</v>
      </c>
      <c r="S39" s="24" t="n">
        <f aca="false">Drivers!$C$62*IF((S$35-Drivers!$C$63)&lt;0,0,MIN(((S$35-Drivers!$C$63)+1)/Drivers!$C$64,1))*$C$6</f>
        <v>0.8</v>
      </c>
      <c r="T39" s="24" t="n">
        <f aca="false">Drivers!$C$62*IF((T$35-Drivers!$C$63)&lt;0,0,MIN(((T$35-Drivers!$C$63)+1)/Drivers!$C$64,1))*$C$6</f>
        <v>0.8</v>
      </c>
      <c r="U39" s="24" t="n">
        <f aca="false">Drivers!$C$62*IF((U$35-Drivers!$C$63)&lt;0,0,MIN(((U$35-Drivers!$C$63)+1)/Drivers!$C$64,1))*$C$6</f>
        <v>0.8</v>
      </c>
    </row>
    <row r="40" customFormat="false" ht="15" hidden="false" customHeight="false" outlineLevel="0" collapsed="false">
      <c r="A40" s="9" t="s">
        <v>328</v>
      </c>
      <c r="B40" s="35" t="s">
        <v>326</v>
      </c>
      <c r="C40" s="24" t="n">
        <f aca="false">Drivers!$C$65*IF((C$35-Drivers!$C$66)&lt;0,0,MIN(((C$35-Drivers!$C$66)+1)/Drivers!$C$67,1))*$C$7*((1-Drivers!$C$69)+Drivers!$C$69*Drivers!$C$68)</f>
        <v>0.2338</v>
      </c>
      <c r="D40" s="24" t="n">
        <f aca="false">Drivers!$C$65*IF((D$35-Drivers!$C$66)&lt;0,0,MIN(((D$35-Drivers!$C$66)+1)/Drivers!$C$67,1))*$C$7*((1-Drivers!$C$69)+Drivers!$C$69*Drivers!$C$68)</f>
        <v>0.4676</v>
      </c>
      <c r="E40" s="24" t="n">
        <f aca="false">Drivers!$C$65*IF((E$35-Drivers!$C$66)&lt;0,0,MIN(((E$35-Drivers!$C$66)+1)/Drivers!$C$67,1))*$C$7*((1-Drivers!$C$69)+Drivers!$C$69*Drivers!$C$68)</f>
        <v>0.7014</v>
      </c>
      <c r="F40" s="24" t="n">
        <f aca="false">Drivers!$C$65*IF((F$35-Drivers!$C$66)&lt;0,0,MIN(((F$35-Drivers!$C$66)+1)/Drivers!$C$67,1))*$C$7*((1-Drivers!$C$69)+Drivers!$C$69*Drivers!$C$68)</f>
        <v>0.9352</v>
      </c>
      <c r="G40" s="24" t="n">
        <f aca="false">Drivers!$C$65*IF((G$35-Drivers!$C$66)&lt;0,0,MIN(((G$35-Drivers!$C$66)+1)/Drivers!$C$67,1))*$C$7*((1-Drivers!$C$69)+Drivers!$C$69*Drivers!$C$68)</f>
        <v>1.169</v>
      </c>
      <c r="H40" s="24" t="n">
        <f aca="false">Drivers!$C$65*IF((H$35-Drivers!$C$66)&lt;0,0,MIN(((H$35-Drivers!$C$66)+1)/Drivers!$C$67,1))*$C$7*((1-Drivers!$C$69)+Drivers!$C$69*Drivers!$C$68)</f>
        <v>1.169</v>
      </c>
      <c r="I40" s="24" t="n">
        <f aca="false">Drivers!$C$65*IF((I$35-Drivers!$C$66)&lt;0,0,MIN(((I$35-Drivers!$C$66)+1)/Drivers!$C$67,1))*$C$7*((1-Drivers!$C$69)+Drivers!$C$69*Drivers!$C$68)</f>
        <v>1.169</v>
      </c>
      <c r="J40" s="24" t="n">
        <f aca="false">Drivers!$C$65*IF((J$35-Drivers!$C$66)&lt;0,0,MIN(((J$35-Drivers!$C$66)+1)/Drivers!$C$67,1))*$C$7*((1-Drivers!$C$69)+Drivers!$C$69*Drivers!$C$68)</f>
        <v>1.169</v>
      </c>
      <c r="K40" s="24" t="n">
        <f aca="false">Drivers!$C$65*IF((K$35-Drivers!$C$66)&lt;0,0,MIN(((K$35-Drivers!$C$66)+1)/Drivers!$C$67,1))*$C$7*((1-Drivers!$C$69)+Drivers!$C$69*Drivers!$C$68)</f>
        <v>1.169</v>
      </c>
      <c r="L40" s="24" t="n">
        <f aca="false">Drivers!$C$65*IF((L$35-Drivers!$C$66)&lt;0,0,MIN(((L$35-Drivers!$C$66)+1)/Drivers!$C$67,1))*$C$7*((1-Drivers!$C$69)+Drivers!$C$69*Drivers!$C$68)</f>
        <v>1.169</v>
      </c>
      <c r="M40" s="24" t="n">
        <f aca="false">Drivers!$C$65*IF((M$35-Drivers!$C$66)&lt;0,0,MIN(((M$35-Drivers!$C$66)+1)/Drivers!$C$67,1))*$C$7*((1-Drivers!$C$69)+Drivers!$C$69*Drivers!$C$68)</f>
        <v>1.169</v>
      </c>
      <c r="N40" s="24" t="n">
        <f aca="false">Drivers!$C$65*IF((N$35-Drivers!$C$66)&lt;0,0,MIN(((N$35-Drivers!$C$66)+1)/Drivers!$C$67,1))*$C$7*((1-Drivers!$C$69)+Drivers!$C$69*Drivers!$C$68)</f>
        <v>1.169</v>
      </c>
      <c r="O40" s="24" t="n">
        <f aca="false">Drivers!$C$65*IF((O$35-Drivers!$C$66)&lt;0,0,MIN(((O$35-Drivers!$C$66)+1)/Drivers!$C$67,1))*$C$7*((1-Drivers!$C$69)+Drivers!$C$69*Drivers!$C$68)</f>
        <v>1.169</v>
      </c>
      <c r="P40" s="24" t="n">
        <f aca="false">Drivers!$C$65*IF((P$35-Drivers!$C$66)&lt;0,0,MIN(((P$35-Drivers!$C$66)+1)/Drivers!$C$67,1))*$C$7*((1-Drivers!$C$69)+Drivers!$C$69*Drivers!$C$68)</f>
        <v>1.169</v>
      </c>
      <c r="Q40" s="24" t="n">
        <f aca="false">Drivers!$C$65*IF((Q$35-Drivers!$C$66)&lt;0,0,MIN(((Q$35-Drivers!$C$66)+1)/Drivers!$C$67,1))*$C$7*((1-Drivers!$C$69)+Drivers!$C$69*Drivers!$C$68)</f>
        <v>1.169</v>
      </c>
      <c r="R40" s="24" t="n">
        <f aca="false">Drivers!$C$65*IF((R$35-Drivers!$C$66)&lt;0,0,MIN(((R$35-Drivers!$C$66)+1)/Drivers!$C$67,1))*$C$7*((1-Drivers!$C$69)+Drivers!$C$69*Drivers!$C$68)</f>
        <v>1.169</v>
      </c>
      <c r="S40" s="24" t="n">
        <f aca="false">Drivers!$C$65*IF((S$35-Drivers!$C$66)&lt;0,0,MIN(((S$35-Drivers!$C$66)+1)/Drivers!$C$67,1))*$C$7*((1-Drivers!$C$69)+Drivers!$C$69*Drivers!$C$68)</f>
        <v>1.169</v>
      </c>
      <c r="T40" s="24" t="n">
        <f aca="false">Drivers!$C$65*IF((T$35-Drivers!$C$66)&lt;0,0,MIN(((T$35-Drivers!$C$66)+1)/Drivers!$C$67,1))*$C$7*((1-Drivers!$C$69)+Drivers!$C$69*Drivers!$C$68)</f>
        <v>1.169</v>
      </c>
      <c r="U40" s="24" t="n">
        <f aca="false">Drivers!$C$65*IF((U$35-Drivers!$C$66)&lt;0,0,MIN(((U$35-Drivers!$C$66)+1)/Drivers!$C$67,1))*$C$7*((1-Drivers!$C$69)+Drivers!$C$69*Drivers!$C$68)</f>
        <v>1.169</v>
      </c>
    </row>
    <row r="41" customFormat="false" ht="15" hidden="false" customHeight="false" outlineLevel="0" collapsed="false">
      <c r="A41" s="9" t="s">
        <v>329</v>
      </c>
      <c r="B41" s="35" t="s">
        <v>326</v>
      </c>
      <c r="C41" s="24" t="n">
        <f aca="false">Drivers!$C$70*MIN((C$35-2026)/3,1)</f>
        <v>0.05</v>
      </c>
      <c r="D41" s="24" t="n">
        <f aca="false">Drivers!$C$70*MIN((D$35-2026)/3,1)</f>
        <v>0.1</v>
      </c>
      <c r="E41" s="24" t="n">
        <f aca="false">Drivers!$C$70*MIN((E$35-2026)/3,1)</f>
        <v>0.15</v>
      </c>
      <c r="F41" s="24" t="n">
        <f aca="false">Drivers!$C$70*MIN((F$35-2026)/3,1)</f>
        <v>0.15</v>
      </c>
      <c r="G41" s="24" t="n">
        <f aca="false">Drivers!$C$70*MIN((G$35-2026)/3,1)</f>
        <v>0.15</v>
      </c>
      <c r="H41" s="24" t="n">
        <f aca="false">Drivers!$C$70*MIN((H$35-2026)/3,1)</f>
        <v>0.15</v>
      </c>
      <c r="I41" s="24" t="n">
        <f aca="false">Drivers!$C$70*MIN((I$35-2026)/3,1)</f>
        <v>0.15</v>
      </c>
      <c r="J41" s="24" t="n">
        <f aca="false">Drivers!$C$70*MIN((J$35-2026)/3,1)</f>
        <v>0.15</v>
      </c>
      <c r="K41" s="24" t="n">
        <f aca="false">Drivers!$C$70*MIN((K$35-2026)/3,1)</f>
        <v>0.15</v>
      </c>
      <c r="L41" s="24" t="n">
        <f aca="false">Drivers!$C$70*MIN((L$35-2026)/3,1)</f>
        <v>0.15</v>
      </c>
      <c r="M41" s="24" t="n">
        <f aca="false">Drivers!$C$70*MIN((M$35-2026)/3,1)</f>
        <v>0.15</v>
      </c>
      <c r="N41" s="24" t="n">
        <f aca="false">Drivers!$C$70*MIN((N$35-2026)/3,1)</f>
        <v>0.15</v>
      </c>
      <c r="O41" s="24" t="n">
        <f aca="false">Drivers!$C$70*MIN((O$35-2026)/3,1)</f>
        <v>0.15</v>
      </c>
      <c r="P41" s="24" t="n">
        <f aca="false">Drivers!$C$70*MIN((P$35-2026)/3,1)</f>
        <v>0.15</v>
      </c>
      <c r="Q41" s="24" t="n">
        <f aca="false">Drivers!$C$70*MIN((Q$35-2026)/3,1)</f>
        <v>0.15</v>
      </c>
      <c r="R41" s="24" t="n">
        <f aca="false">Drivers!$C$70*MIN((R$35-2026)/3,1)</f>
        <v>0.15</v>
      </c>
      <c r="S41" s="24" t="n">
        <f aca="false">Drivers!$C$70*MIN((S$35-2026)/3,1)</f>
        <v>0.15</v>
      </c>
      <c r="T41" s="24" t="n">
        <f aca="false">Drivers!$C$70*MIN((T$35-2026)/3,1)</f>
        <v>0.15</v>
      </c>
      <c r="U41" s="24" t="n">
        <f aca="false">Drivers!$C$70*MIN((U$35-2026)/3,1)</f>
        <v>0.15</v>
      </c>
    </row>
    <row r="42" customFormat="false" ht="15" hidden="false" customHeight="false" outlineLevel="0" collapsed="false">
      <c r="A42" s="9" t="s">
        <v>330</v>
      </c>
      <c r="B42" s="35" t="s">
        <v>326</v>
      </c>
      <c r="C42" s="24" t="n">
        <f aca="false">$C$8*Drivers!$C$71*IF((C$35-Drivers!$C$72)&lt;0,0,MIN(((C$35-Drivers!$C$72)+1)/Drivers!$C$73,1))</f>
        <v>0</v>
      </c>
      <c r="D42" s="24" t="n">
        <f aca="false">$C$8*Drivers!$C$71*IF((D$35-Drivers!$C$72)&lt;0,0,MIN(((D$35-Drivers!$C$72)+1)/Drivers!$C$73,1))</f>
        <v>0</v>
      </c>
      <c r="E42" s="24" t="n">
        <f aca="false">$C$8*Drivers!$C$71*IF((E$35-Drivers!$C$72)&lt;0,0,MIN(((E$35-Drivers!$C$72)+1)/Drivers!$C$73,1))</f>
        <v>0.072</v>
      </c>
      <c r="F42" s="24" t="n">
        <f aca="false">$C$8*Drivers!$C$71*IF((F$35-Drivers!$C$72)&lt;0,0,MIN(((F$35-Drivers!$C$72)+1)/Drivers!$C$73,1))</f>
        <v>0.144</v>
      </c>
      <c r="G42" s="24" t="n">
        <f aca="false">$C$8*Drivers!$C$71*IF((G$35-Drivers!$C$72)&lt;0,0,MIN(((G$35-Drivers!$C$72)+1)/Drivers!$C$73,1))</f>
        <v>0.216</v>
      </c>
      <c r="H42" s="24" t="n">
        <f aca="false">$C$8*Drivers!$C$71*IF((H$35-Drivers!$C$72)&lt;0,0,MIN(((H$35-Drivers!$C$72)+1)/Drivers!$C$73,1))</f>
        <v>0.288</v>
      </c>
      <c r="I42" s="24" t="n">
        <f aca="false">$C$8*Drivers!$C$71*IF((I$35-Drivers!$C$72)&lt;0,0,MIN(((I$35-Drivers!$C$72)+1)/Drivers!$C$73,1))</f>
        <v>0.36</v>
      </c>
      <c r="J42" s="24" t="n">
        <f aca="false">$C$8*Drivers!$C$71*IF((J$35-Drivers!$C$72)&lt;0,0,MIN(((J$35-Drivers!$C$72)+1)/Drivers!$C$73,1))</f>
        <v>0.36</v>
      </c>
      <c r="K42" s="24" t="n">
        <f aca="false">$C$8*Drivers!$C$71*IF((K$35-Drivers!$C$72)&lt;0,0,MIN(((K$35-Drivers!$C$72)+1)/Drivers!$C$73,1))</f>
        <v>0.36</v>
      </c>
      <c r="L42" s="24" t="n">
        <f aca="false">$C$8*Drivers!$C$71*IF((L$35-Drivers!$C$72)&lt;0,0,MIN(((L$35-Drivers!$C$72)+1)/Drivers!$C$73,1))</f>
        <v>0.36</v>
      </c>
      <c r="M42" s="24" t="n">
        <f aca="false">$C$8*Drivers!$C$71*IF((M$35-Drivers!$C$72)&lt;0,0,MIN(((M$35-Drivers!$C$72)+1)/Drivers!$C$73,1))</f>
        <v>0.36</v>
      </c>
      <c r="N42" s="24" t="n">
        <f aca="false">$C$8*Drivers!$C$71*IF((N$35-Drivers!$C$72)&lt;0,0,MIN(((N$35-Drivers!$C$72)+1)/Drivers!$C$73,1))</f>
        <v>0.36</v>
      </c>
      <c r="O42" s="24" t="n">
        <f aca="false">$C$8*Drivers!$C$71*IF((O$35-Drivers!$C$72)&lt;0,0,MIN(((O$35-Drivers!$C$72)+1)/Drivers!$C$73,1))</f>
        <v>0.36</v>
      </c>
      <c r="P42" s="24" t="n">
        <f aca="false">$C$8*Drivers!$C$71*IF((P$35-Drivers!$C$72)&lt;0,0,MIN(((P$35-Drivers!$C$72)+1)/Drivers!$C$73,1))</f>
        <v>0.36</v>
      </c>
      <c r="Q42" s="24" t="n">
        <f aca="false">$C$8*Drivers!$C$71*IF((Q$35-Drivers!$C$72)&lt;0,0,MIN(((Q$35-Drivers!$C$72)+1)/Drivers!$C$73,1))</f>
        <v>0.36</v>
      </c>
      <c r="R42" s="24" t="n">
        <f aca="false">$C$8*Drivers!$C$71*IF((R$35-Drivers!$C$72)&lt;0,0,MIN(((R$35-Drivers!$C$72)+1)/Drivers!$C$73,1))</f>
        <v>0.36</v>
      </c>
      <c r="S42" s="24" t="n">
        <f aca="false">$C$8*Drivers!$C$71*IF((S$35-Drivers!$C$72)&lt;0,0,MIN(((S$35-Drivers!$C$72)+1)/Drivers!$C$73,1))</f>
        <v>0.36</v>
      </c>
      <c r="T42" s="24" t="n">
        <f aca="false">$C$8*Drivers!$C$71*IF((T$35-Drivers!$C$72)&lt;0,0,MIN(((T$35-Drivers!$C$72)+1)/Drivers!$C$73,1))</f>
        <v>0.36</v>
      </c>
      <c r="U42" s="24" t="n">
        <f aca="false">$C$8*Drivers!$C$71*IF((U$35-Drivers!$C$72)&lt;0,0,MIN(((U$35-Drivers!$C$72)+1)/Drivers!$C$73,1))</f>
        <v>0.36</v>
      </c>
    </row>
    <row r="43" customFormat="false" ht="15" hidden="false" customHeight="false" outlineLevel="0" collapsed="false">
      <c r="A43" s="9" t="s">
        <v>331</v>
      </c>
      <c r="B43" s="35" t="s">
        <v>326</v>
      </c>
      <c r="C43" s="24" t="n">
        <f aca="false">Drivers!$C$74</f>
        <v>0.15</v>
      </c>
      <c r="D43" s="24" t="n">
        <f aca="false">Drivers!$C$74</f>
        <v>0.15</v>
      </c>
      <c r="E43" s="24" t="n">
        <f aca="false">Drivers!$C$74</f>
        <v>0.15</v>
      </c>
      <c r="F43" s="24" t="n">
        <f aca="false">Drivers!$C$74</f>
        <v>0.15</v>
      </c>
      <c r="G43" s="24" t="n">
        <f aca="false">Drivers!$C$74</f>
        <v>0.15</v>
      </c>
      <c r="H43" s="24" t="n">
        <f aca="false">Drivers!$C$74</f>
        <v>0.15</v>
      </c>
      <c r="I43" s="24" t="n">
        <f aca="false">Drivers!$C$74</f>
        <v>0.15</v>
      </c>
      <c r="J43" s="24" t="n">
        <f aca="false">Drivers!$C$74</f>
        <v>0.15</v>
      </c>
      <c r="K43" s="24" t="n">
        <f aca="false">Drivers!$C$74</f>
        <v>0.15</v>
      </c>
      <c r="L43" s="24" t="n">
        <f aca="false">Drivers!$C$74</f>
        <v>0.15</v>
      </c>
      <c r="M43" s="24" t="n">
        <f aca="false">Drivers!$C$74</f>
        <v>0.15</v>
      </c>
      <c r="N43" s="24" t="n">
        <f aca="false">Drivers!$C$74</f>
        <v>0.15</v>
      </c>
      <c r="O43" s="24" t="n">
        <f aca="false">Drivers!$C$74</f>
        <v>0.15</v>
      </c>
      <c r="P43" s="24" t="n">
        <f aca="false">Drivers!$C$74</f>
        <v>0.15</v>
      </c>
      <c r="Q43" s="24" t="n">
        <f aca="false">Drivers!$C$74</f>
        <v>0.15</v>
      </c>
      <c r="R43" s="24" t="n">
        <f aca="false">Drivers!$C$74</f>
        <v>0.15</v>
      </c>
      <c r="S43" s="24" t="n">
        <f aca="false">Drivers!$C$74</f>
        <v>0.15</v>
      </c>
      <c r="T43" s="24" t="n">
        <f aca="false">Drivers!$C$74</f>
        <v>0.15</v>
      </c>
      <c r="U43" s="24" t="n">
        <f aca="false">Drivers!$C$74</f>
        <v>0.15</v>
      </c>
    </row>
    <row r="44" customFormat="false" ht="15" hidden="false" customHeight="false" outlineLevel="0" collapsed="false">
      <c r="A44" s="3" t="s">
        <v>332</v>
      </c>
      <c r="B44" s="35" t="s">
        <v>326</v>
      </c>
      <c r="C44" s="29" t="n">
        <f aca="false">SUM(C38:C43)</f>
        <v>2.4438</v>
      </c>
      <c r="D44" s="29" t="n">
        <f aca="false">SUM(D38:D43)</f>
        <v>2.7376</v>
      </c>
      <c r="E44" s="29" t="n">
        <f aca="false">SUM(E38:E43)</f>
        <v>3.1034</v>
      </c>
      <c r="F44" s="29" t="n">
        <f aca="false">SUM(F38:F43)</f>
        <v>3.4692</v>
      </c>
      <c r="G44" s="29" t="n">
        <f aca="false">SUM(G38:G43)</f>
        <v>3.865</v>
      </c>
      <c r="H44" s="29" t="n">
        <f aca="false">SUM(H38:H43)</f>
        <v>3.857</v>
      </c>
      <c r="I44" s="29" t="n">
        <f aca="false">SUM(I38:I43)</f>
        <v>3.903</v>
      </c>
      <c r="J44" s="29" t="n">
        <f aca="false">SUM(J38:J43)</f>
        <v>3.87752</v>
      </c>
      <c r="K44" s="29" t="n">
        <f aca="false">SUM(K38:K43)</f>
        <v>3.8525496</v>
      </c>
      <c r="L44" s="29" t="n">
        <f aca="false">SUM(L38:L43)</f>
        <v>3.828078608</v>
      </c>
      <c r="M44" s="29" t="n">
        <f aca="false">SUM(M38:M43)</f>
        <v>3.80409703584</v>
      </c>
      <c r="N44" s="29" t="n">
        <f aca="false">SUM(N38:N43)</f>
        <v>3.7805950951232</v>
      </c>
      <c r="O44" s="29" t="n">
        <f aca="false">SUM(O38:O43)</f>
        <v>3.75756319322074</v>
      </c>
      <c r="P44" s="29" t="n">
        <f aca="false">SUM(P38:P43)</f>
        <v>3.73499192935632</v>
      </c>
      <c r="Q44" s="29" t="n">
        <f aca="false">SUM(Q38:Q43)</f>
        <v>3.71287209076919</v>
      </c>
      <c r="R44" s="29" t="n">
        <f aca="false">SUM(R38:R43)</f>
        <v>3.69119464895381</v>
      </c>
      <c r="S44" s="29" t="n">
        <f aca="false">SUM(S38:S43)</f>
        <v>3.66995075597473</v>
      </c>
      <c r="T44" s="29" t="n">
        <f aca="false">SUM(T38:T43)</f>
        <v>3.64913174085524</v>
      </c>
      <c r="U44" s="29" t="n">
        <f aca="false">SUM(U38:U43)</f>
        <v>3.62872910603814</v>
      </c>
    </row>
    <row r="45" customFormat="false" ht="15" hidden="false" customHeight="false" outlineLevel="0" collapsed="false">
      <c r="A45" s="9" t="s">
        <v>333</v>
      </c>
      <c r="B45" s="35" t="s">
        <v>334</v>
      </c>
      <c r="C45" s="11" t="n">
        <f aca="false">Drivers!$D$75+$C$9</f>
        <v>0.64</v>
      </c>
      <c r="D45" s="11" t="n">
        <f aca="false">Drivers!$E$75+$C$9</f>
        <v>0.68</v>
      </c>
      <c r="E45" s="11" t="n">
        <f aca="false">Drivers!$F$75+$C$9</f>
        <v>0.71</v>
      </c>
      <c r="F45" s="11" t="n">
        <f aca="false">Drivers!$G$75+$C$9</f>
        <v>0.73</v>
      </c>
      <c r="G45" s="11" t="n">
        <f aca="false">Drivers!$H$75+$C$9</f>
        <v>0.74</v>
      </c>
      <c r="H45" s="11" t="n">
        <f aca="false">Drivers!$I$75+$C$9</f>
        <v>0.75</v>
      </c>
      <c r="I45" s="11" t="n">
        <f aca="false">Drivers!$I$75+$C$9</f>
        <v>0.75</v>
      </c>
      <c r="J45" s="11" t="n">
        <f aca="false">Drivers!$I$75+$C$9</f>
        <v>0.75</v>
      </c>
      <c r="K45" s="11" t="n">
        <f aca="false">Drivers!$I$75+$C$9</f>
        <v>0.75</v>
      </c>
      <c r="L45" s="11" t="n">
        <f aca="false">Drivers!$I$75+$C$9</f>
        <v>0.75</v>
      </c>
      <c r="M45" s="11" t="n">
        <f aca="false">Drivers!$I$75+$C$9</f>
        <v>0.75</v>
      </c>
      <c r="N45" s="11" t="n">
        <f aca="false">Drivers!$I$75+$C$9</f>
        <v>0.75</v>
      </c>
      <c r="O45" s="11" t="n">
        <f aca="false">Drivers!$I$75+$C$9</f>
        <v>0.75</v>
      </c>
      <c r="P45" s="11" t="n">
        <f aca="false">Drivers!$I$75+$C$9</f>
        <v>0.75</v>
      </c>
      <c r="Q45" s="11" t="n">
        <f aca="false">Drivers!$I$75+$C$9</f>
        <v>0.75</v>
      </c>
      <c r="R45" s="11" t="n">
        <f aca="false">Drivers!$I$75+$C$9</f>
        <v>0.75</v>
      </c>
      <c r="S45" s="11" t="n">
        <f aca="false">Drivers!$I$75+$C$9</f>
        <v>0.75</v>
      </c>
      <c r="T45" s="11" t="n">
        <f aca="false">Drivers!$I$75+$C$9</f>
        <v>0.75</v>
      </c>
      <c r="U45" s="11" t="n">
        <f aca="false">Drivers!$I$75+$C$9</f>
        <v>0.75</v>
      </c>
    </row>
    <row r="46" customFormat="false" ht="15" hidden="false" customHeight="false" outlineLevel="0" collapsed="false">
      <c r="A46" s="9" t="s">
        <v>335</v>
      </c>
      <c r="B46" s="35" t="s">
        <v>326</v>
      </c>
      <c r="C46" s="24" t="n">
        <f aca="false">C39+C40</f>
        <v>0.3938</v>
      </c>
      <c r="D46" s="24" t="n">
        <f aca="false">D39+D40</f>
        <v>0.7876</v>
      </c>
      <c r="E46" s="24" t="n">
        <f aca="false">E39+E40</f>
        <v>1.1814</v>
      </c>
      <c r="F46" s="24" t="n">
        <f aca="false">F39+F40</f>
        <v>1.5752</v>
      </c>
      <c r="G46" s="24" t="n">
        <f aca="false">G39+G40</f>
        <v>1.969</v>
      </c>
      <c r="H46" s="24" t="n">
        <f aca="false">H39+H40</f>
        <v>1.969</v>
      </c>
      <c r="I46" s="24" t="n">
        <f aca="false">I39+I40</f>
        <v>1.969</v>
      </c>
      <c r="J46" s="24" t="n">
        <f aca="false">J39+J40</f>
        <v>1.969</v>
      </c>
      <c r="K46" s="24" t="n">
        <f aca="false">K39+K40</f>
        <v>1.969</v>
      </c>
      <c r="L46" s="24" t="n">
        <f aca="false">L39+L40</f>
        <v>1.969</v>
      </c>
      <c r="M46" s="24" t="n">
        <f aca="false">M39+M40</f>
        <v>1.969</v>
      </c>
      <c r="N46" s="24" t="n">
        <f aca="false">N39+N40</f>
        <v>1.969</v>
      </c>
      <c r="O46" s="24" t="n">
        <f aca="false">O39+O40</f>
        <v>1.969</v>
      </c>
      <c r="P46" s="24" t="n">
        <f aca="false">P39+P40</f>
        <v>1.969</v>
      </c>
      <c r="Q46" s="24" t="n">
        <f aca="false">Q39+Q40</f>
        <v>1.969</v>
      </c>
      <c r="R46" s="24" t="n">
        <f aca="false">R39+R40</f>
        <v>1.969</v>
      </c>
      <c r="S46" s="24" t="n">
        <f aca="false">S39+S40</f>
        <v>1.969</v>
      </c>
      <c r="T46" s="24" t="n">
        <f aca="false">T39+T40</f>
        <v>1.969</v>
      </c>
      <c r="U46" s="24" t="n">
        <f aca="false">U39+U40</f>
        <v>1.969</v>
      </c>
    </row>
    <row r="47" customFormat="false" ht="15" hidden="false" customHeight="false" outlineLevel="0" collapsed="false">
      <c r="A47" s="9" t="s">
        <v>336</v>
      </c>
      <c r="B47" s="35" t="s">
        <v>326</v>
      </c>
      <c r="C47" s="24" t="n">
        <f aca="false">MIN(Drivers!$C$77-0,Drivers!$C$78*C46)</f>
        <v>0.031504</v>
      </c>
      <c r="D47" s="24" t="n">
        <f aca="false">MIN(Drivers!$C$77-C48,Drivers!$C$78*D46)</f>
        <v>0.063008</v>
      </c>
      <c r="E47" s="24" t="n">
        <f aca="false">MIN(Drivers!$C$77-D48,Drivers!$C$78*E46)</f>
        <v>0.094512</v>
      </c>
      <c r="F47" s="24" t="n">
        <f aca="false">MIN(Drivers!$C$77-E48,Drivers!$C$78*F46)</f>
        <v>0.126016</v>
      </c>
      <c r="G47" s="24" t="n">
        <f aca="false">MIN(Drivers!$C$77-F48,Drivers!$C$78*G46)</f>
        <v>0.15752</v>
      </c>
      <c r="H47" s="24" t="n">
        <f aca="false">MIN(Drivers!$C$77-G48,Drivers!$C$78*H46)</f>
        <v>0.15752</v>
      </c>
      <c r="I47" s="24" t="n">
        <f aca="false">MIN(Drivers!$C$77-H48,Drivers!$C$78*I46)</f>
        <v>0.11992</v>
      </c>
      <c r="J47" s="24" t="n">
        <f aca="false">MIN(Drivers!$C$77-I48,Drivers!$C$78*J46)</f>
        <v>0</v>
      </c>
      <c r="K47" s="24" t="n">
        <f aca="false">MIN(Drivers!$C$77-J48,Drivers!$C$78*K46)</f>
        <v>0</v>
      </c>
      <c r="L47" s="24" t="n">
        <f aca="false">MIN(Drivers!$C$77-K48,Drivers!$C$78*L46)</f>
        <v>0</v>
      </c>
      <c r="M47" s="24" t="n">
        <f aca="false">MIN(Drivers!$C$77-L48,Drivers!$C$78*M46)</f>
        <v>0</v>
      </c>
      <c r="N47" s="24" t="n">
        <f aca="false">MIN(Drivers!$C$77-M48,Drivers!$C$78*N46)</f>
        <v>0</v>
      </c>
      <c r="O47" s="24" t="n">
        <f aca="false">MIN(Drivers!$C$77-N48,Drivers!$C$78*O46)</f>
        <v>0</v>
      </c>
      <c r="P47" s="24" t="n">
        <f aca="false">MIN(Drivers!$C$77-O48,Drivers!$C$78*P46)</f>
        <v>0</v>
      </c>
      <c r="Q47" s="24" t="n">
        <f aca="false">MIN(Drivers!$C$77-P48,Drivers!$C$78*Q46)</f>
        <v>0</v>
      </c>
      <c r="R47" s="24" t="n">
        <f aca="false">MIN(Drivers!$C$77-Q48,Drivers!$C$78*R46)</f>
        <v>0</v>
      </c>
      <c r="S47" s="24" t="n">
        <f aca="false">MIN(Drivers!$C$77-R48,Drivers!$C$78*S46)</f>
        <v>0</v>
      </c>
      <c r="T47" s="24" t="n">
        <f aca="false">MIN(Drivers!$C$77-S48,Drivers!$C$78*T46)</f>
        <v>0</v>
      </c>
      <c r="U47" s="24" t="n">
        <f aca="false">MIN(Drivers!$C$77-T48,Drivers!$C$78*U46)</f>
        <v>0</v>
      </c>
    </row>
    <row r="48" customFormat="false" ht="15" hidden="false" customHeight="false" outlineLevel="0" collapsed="false">
      <c r="A48" s="9" t="s">
        <v>337</v>
      </c>
      <c r="B48" s="35" t="s">
        <v>326</v>
      </c>
      <c r="C48" s="24" t="n">
        <f aca="false">C47</f>
        <v>0.031504</v>
      </c>
      <c r="D48" s="24" t="n">
        <f aca="false">C48+D47</f>
        <v>0.094512</v>
      </c>
      <c r="E48" s="24" t="n">
        <f aca="false">D48+E47</f>
        <v>0.189024</v>
      </c>
      <c r="F48" s="24" t="n">
        <f aca="false">E48+F47</f>
        <v>0.31504</v>
      </c>
      <c r="G48" s="24" t="n">
        <f aca="false">F48+G47</f>
        <v>0.47256</v>
      </c>
      <c r="H48" s="24" t="n">
        <f aca="false">G48+H47</f>
        <v>0.63008</v>
      </c>
      <c r="I48" s="24" t="n">
        <f aca="false">H48+I47</f>
        <v>0.75</v>
      </c>
      <c r="J48" s="24" t="n">
        <f aca="false">I48+J47</f>
        <v>0.75</v>
      </c>
      <c r="K48" s="24" t="n">
        <f aca="false">J48+K47</f>
        <v>0.75</v>
      </c>
      <c r="L48" s="24" t="n">
        <f aca="false">K48+L47</f>
        <v>0.75</v>
      </c>
      <c r="M48" s="24" t="n">
        <f aca="false">L48+M47</f>
        <v>0.75</v>
      </c>
      <c r="N48" s="24" t="n">
        <f aca="false">M48+N47</f>
        <v>0.75</v>
      </c>
      <c r="O48" s="24" t="n">
        <f aca="false">N48+O47</f>
        <v>0.75</v>
      </c>
      <c r="P48" s="24" t="n">
        <f aca="false">O48+P47</f>
        <v>0.75</v>
      </c>
      <c r="Q48" s="24" t="n">
        <f aca="false">P48+Q47</f>
        <v>0.75</v>
      </c>
      <c r="R48" s="24" t="n">
        <f aca="false">Q48+R47</f>
        <v>0.75</v>
      </c>
      <c r="S48" s="24" t="n">
        <f aca="false">R48+S47</f>
        <v>0.75</v>
      </c>
      <c r="T48" s="24" t="n">
        <f aca="false">S48+T47</f>
        <v>0.75</v>
      </c>
      <c r="U48" s="24" t="n">
        <f aca="false">T48+U47</f>
        <v>0.75</v>
      </c>
    </row>
    <row r="49" customFormat="false" ht="15" hidden="false" customHeight="false" outlineLevel="0" collapsed="false">
      <c r="A49" s="9" t="s">
        <v>338</v>
      </c>
      <c r="B49" s="35" t="s">
        <v>326</v>
      </c>
      <c r="C49" s="24" t="n">
        <f aca="false">Drivers!$C$76*C46+C47</f>
        <v>0.041349</v>
      </c>
      <c r="D49" s="24" t="n">
        <f aca="false">Drivers!$C$76*D46+D47</f>
        <v>0.082698</v>
      </c>
      <c r="E49" s="24" t="n">
        <f aca="false">Drivers!$C$76*E46+E47</f>
        <v>0.124047</v>
      </c>
      <c r="F49" s="24" t="n">
        <f aca="false">Drivers!$C$76*F46+F47</f>
        <v>0.165396</v>
      </c>
      <c r="G49" s="24" t="n">
        <f aca="false">Drivers!$C$76*G46+G47</f>
        <v>0.206745</v>
      </c>
      <c r="H49" s="24" t="n">
        <f aca="false">Drivers!$C$76*H46+H47</f>
        <v>0.206745</v>
      </c>
      <c r="I49" s="24" t="n">
        <f aca="false">Drivers!$C$76*I46+I47</f>
        <v>0.169145</v>
      </c>
      <c r="J49" s="24" t="n">
        <f aca="false">Drivers!$C$76*J46+J47</f>
        <v>0.049225</v>
      </c>
      <c r="K49" s="24" t="n">
        <f aca="false">Drivers!$C$76*K46+K47</f>
        <v>0.049225</v>
      </c>
      <c r="L49" s="24" t="n">
        <f aca="false">Drivers!$C$76*L46+L47</f>
        <v>0.049225</v>
      </c>
      <c r="M49" s="24" t="n">
        <f aca="false">Drivers!$C$76*M46+M47</f>
        <v>0.049225</v>
      </c>
      <c r="N49" s="24" t="n">
        <f aca="false">Drivers!$C$76*N46+N47</f>
        <v>0.049225</v>
      </c>
      <c r="O49" s="24" t="n">
        <f aca="false">Drivers!$C$76*O46+O47</f>
        <v>0.049225</v>
      </c>
      <c r="P49" s="24" t="n">
        <f aca="false">Drivers!$C$76*P46+P47</f>
        <v>0.049225</v>
      </c>
      <c r="Q49" s="24" t="n">
        <f aca="false">Drivers!$C$76*Q46+Q47</f>
        <v>0.049225</v>
      </c>
      <c r="R49" s="24" t="n">
        <f aca="false">Drivers!$C$76*R46+R47</f>
        <v>0.049225</v>
      </c>
      <c r="S49" s="24" t="n">
        <f aca="false">Drivers!$C$76*S46+S47</f>
        <v>0.049225</v>
      </c>
      <c r="T49" s="24" t="n">
        <f aca="false">Drivers!$C$76*T46+T47</f>
        <v>0.049225</v>
      </c>
      <c r="U49" s="24" t="n">
        <f aca="false">Drivers!$C$76*U46+U47</f>
        <v>0.049225</v>
      </c>
    </row>
    <row r="50" customFormat="false" ht="15" hidden="false" customHeight="false" outlineLevel="0" collapsed="false">
      <c r="A50" s="9" t="s">
        <v>339</v>
      </c>
      <c r="B50" s="35" t="s">
        <v>326</v>
      </c>
      <c r="C50" s="24" t="n">
        <f aca="false">MAX(Drivers!$C$80,Drivers!$C$79*C44)</f>
        <v>0.4</v>
      </c>
      <c r="D50" s="24" t="n">
        <f aca="false">MAX(Drivers!$C$80,Drivers!$C$79*D44)</f>
        <v>0.4</v>
      </c>
      <c r="E50" s="24" t="n">
        <f aca="false">MAX(Drivers!$C$80,Drivers!$C$79*E44)</f>
        <v>0.434476</v>
      </c>
      <c r="F50" s="24" t="n">
        <f aca="false">MAX(Drivers!$C$80,Drivers!$C$79*F44)</f>
        <v>0.485688</v>
      </c>
      <c r="G50" s="24" t="n">
        <f aca="false">MAX(Drivers!$C$80,Drivers!$C$79*G44)</f>
        <v>0.5411</v>
      </c>
      <c r="H50" s="24" t="n">
        <f aca="false">MAX(Drivers!$C$80,Drivers!$C$79*H44)</f>
        <v>0.53998</v>
      </c>
      <c r="I50" s="24" t="n">
        <f aca="false">MAX(Drivers!$C$80,Drivers!$C$79*I44)</f>
        <v>0.54642</v>
      </c>
      <c r="J50" s="24" t="n">
        <f aca="false">MAX(Drivers!$C$80,Drivers!$C$79*J44)</f>
        <v>0.5428528</v>
      </c>
      <c r="K50" s="24" t="n">
        <f aca="false">MAX(Drivers!$C$80,Drivers!$C$79*K44)</f>
        <v>0.539356944</v>
      </c>
      <c r="L50" s="24" t="n">
        <f aca="false">MAX(Drivers!$C$80,Drivers!$C$79*L44)</f>
        <v>0.53593100512</v>
      </c>
      <c r="M50" s="24" t="n">
        <f aca="false">MAX(Drivers!$C$80,Drivers!$C$79*M44)</f>
        <v>0.5325735850176</v>
      </c>
      <c r="N50" s="24" t="n">
        <f aca="false">MAX(Drivers!$C$80,Drivers!$C$79*N44)</f>
        <v>0.529283313317248</v>
      </c>
      <c r="O50" s="24" t="n">
        <f aca="false">MAX(Drivers!$C$80,Drivers!$C$79*O44)</f>
        <v>0.526058847050903</v>
      </c>
      <c r="P50" s="24" t="n">
        <f aca="false">MAX(Drivers!$C$80,Drivers!$C$79*P44)</f>
        <v>0.522898870109885</v>
      </c>
      <c r="Q50" s="24" t="n">
        <f aca="false">MAX(Drivers!$C$80,Drivers!$C$79*Q44)</f>
        <v>0.519802092707687</v>
      </c>
      <c r="R50" s="24" t="n">
        <f aca="false">MAX(Drivers!$C$80,Drivers!$C$79*R44)</f>
        <v>0.516767250853534</v>
      </c>
      <c r="S50" s="24" t="n">
        <f aca="false">MAX(Drivers!$C$80,Drivers!$C$79*S44)</f>
        <v>0.513793105836463</v>
      </c>
      <c r="T50" s="24" t="n">
        <f aca="false">MAX(Drivers!$C$80,Drivers!$C$79*T44)</f>
        <v>0.510878443719734</v>
      </c>
      <c r="U50" s="24" t="n">
        <f aca="false">MAX(Drivers!$C$80,Drivers!$C$79*U44)</f>
        <v>0.508022074845339</v>
      </c>
    </row>
    <row r="51" customFormat="false" ht="15" hidden="false" customHeight="false" outlineLevel="0" collapsed="false">
      <c r="A51" s="9" t="s">
        <v>340</v>
      </c>
      <c r="B51" s="35" t="s">
        <v>326</v>
      </c>
      <c r="C51" s="24" t="n">
        <f aca="false">Drivers!$D$81</f>
        <v>0.75</v>
      </c>
      <c r="D51" s="24" t="n">
        <f aca="false">Drivers!$E$81</f>
        <v>0.62</v>
      </c>
      <c r="E51" s="24" t="n">
        <f aca="false">Drivers!$F$81</f>
        <v>0.55</v>
      </c>
      <c r="F51" s="24" t="n">
        <f aca="false">Drivers!$G$81</f>
        <v>0.5</v>
      </c>
      <c r="G51" s="24" t="n">
        <f aca="false">Drivers!$H$81</f>
        <v>0.48</v>
      </c>
      <c r="H51" s="24" t="n">
        <f aca="false">Drivers!$I$81</f>
        <v>0.46</v>
      </c>
      <c r="I51" s="24" t="n">
        <f aca="false">H51*1.02</f>
        <v>0.4692</v>
      </c>
      <c r="J51" s="24" t="n">
        <f aca="false">I51*1.02</f>
        <v>0.478584</v>
      </c>
      <c r="K51" s="24" t="n">
        <f aca="false">J51*1.02</f>
        <v>0.48815568</v>
      </c>
      <c r="L51" s="24" t="n">
        <f aca="false">K51*1.02</f>
        <v>0.4979187936</v>
      </c>
      <c r="M51" s="24" t="n">
        <f aca="false">L51*1.02</f>
        <v>0.507877169472</v>
      </c>
      <c r="N51" s="24" t="n">
        <f aca="false">M51*1.02</f>
        <v>0.51803471286144</v>
      </c>
      <c r="O51" s="24" t="n">
        <f aca="false">N51*1.02</f>
        <v>0.528395407118669</v>
      </c>
      <c r="P51" s="24" t="n">
        <f aca="false">O51*1.02</f>
        <v>0.538963315261042</v>
      </c>
      <c r="Q51" s="24" t="n">
        <f aca="false">P51*1.02</f>
        <v>0.549742581566263</v>
      </c>
      <c r="R51" s="24" t="n">
        <f aca="false">Q51*1.02</f>
        <v>0.560737433197588</v>
      </c>
      <c r="S51" s="24" t="n">
        <f aca="false">R51*1.02</f>
        <v>0.57195218186154</v>
      </c>
      <c r="T51" s="24" t="n">
        <f aca="false">S51*1.02</f>
        <v>0.583391225498771</v>
      </c>
      <c r="U51" s="24" t="n">
        <f aca="false">T51*1.02</f>
        <v>0.595059050008746</v>
      </c>
    </row>
    <row r="52" customFormat="false" ht="15" hidden="false" customHeight="false" outlineLevel="0" collapsed="false">
      <c r="A52" s="3" t="s">
        <v>341</v>
      </c>
      <c r="B52" s="35" t="s">
        <v>326</v>
      </c>
      <c r="C52" s="29" t="n">
        <f aca="false">C44*C45-C49-C50-C51</f>
        <v>0.372683</v>
      </c>
      <c r="D52" s="29" t="n">
        <f aca="false">D44*D45-D49-D50-D51</f>
        <v>0.75887</v>
      </c>
      <c r="E52" s="29" t="n">
        <f aca="false">E44*E45-E49-E50-E51</f>
        <v>1.094891</v>
      </c>
      <c r="F52" s="29" t="n">
        <f aca="false">F44*F45-F49-F50-F51</f>
        <v>1.381432</v>
      </c>
      <c r="G52" s="29" t="n">
        <f aca="false">G44*G45-G49-G50-G51</f>
        <v>1.632255</v>
      </c>
      <c r="H52" s="29" t="n">
        <f aca="false">H44*H45-H49-H50-H51</f>
        <v>1.686025</v>
      </c>
      <c r="I52" s="29" t="n">
        <f aca="false">I44*I45-I49-I50-I51</f>
        <v>1.742485</v>
      </c>
      <c r="J52" s="29" t="n">
        <f aca="false">J44*J45-J49-J50-J51</f>
        <v>1.8374782</v>
      </c>
      <c r="K52" s="29" t="n">
        <f aca="false">K44*K45-K49-K50-K51</f>
        <v>1.812674576</v>
      </c>
      <c r="L52" s="29" t="n">
        <f aca="false">L44*L45-L49-L50-L51</f>
        <v>1.78798415728</v>
      </c>
      <c r="M52" s="29" t="n">
        <f aca="false">M44*M45-M49-M50-M51</f>
        <v>1.7633970223904</v>
      </c>
      <c r="N52" s="29" t="n">
        <f aca="false">N44*N45-N49-N50-N51</f>
        <v>1.73890329516371</v>
      </c>
      <c r="O52" s="29" t="n">
        <f aca="false">O44*O45-O49-O50-O51</f>
        <v>1.71449314074598</v>
      </c>
      <c r="P52" s="29" t="n">
        <f aca="false">P44*P45-P49-P50-P51</f>
        <v>1.69015676164631</v>
      </c>
      <c r="Q52" s="29" t="n">
        <f aca="false">Q44*Q45-Q49-Q50-Q51</f>
        <v>1.66588439380295</v>
      </c>
      <c r="R52" s="29" t="n">
        <f aca="false">R44*R45-R49-R50-R51</f>
        <v>1.64166630266424</v>
      </c>
      <c r="S52" s="29" t="n">
        <f aca="false">S44*S45-S49-S50-S51</f>
        <v>1.61749277928305</v>
      </c>
      <c r="T52" s="29" t="n">
        <f aca="false">T44*T45-T49-T50-T51</f>
        <v>1.59335413642293</v>
      </c>
      <c r="U52" s="29" t="n">
        <f aca="false">U44*U45-U49-U50-U51</f>
        <v>1.56924070467452</v>
      </c>
    </row>
    <row r="53" customFormat="false" ht="15" hidden="false" customHeight="false" outlineLevel="0" collapsed="false">
      <c r="A53" s="3" t="s">
        <v>342</v>
      </c>
    </row>
    <row r="54" customFormat="false" ht="15" hidden="false" customHeight="false" outlineLevel="0" collapsed="false">
      <c r="A54" s="9" t="s">
        <v>343</v>
      </c>
      <c r="B54" s="35" t="s">
        <v>326</v>
      </c>
      <c r="C54" s="24" t="n">
        <f aca="false">$D$24*$C$15*IF((C$35-$C$24)&lt;0,0,IF((C$35-$C$24)&gt;=7,1,INDEX(Drivers!$D$86:$J$86,(C$35-$C$24)+1)))*IF((C$35-$C$24)&lt;Drivers!$C$87,1,Drivers!$C$88*Drivers!$C$89^((C$35-$C$24)-Drivers!$C$87))*$E$24</f>
        <v>0.19712</v>
      </c>
      <c r="D54" s="24" t="n">
        <f aca="false">$D$24*$C$15*IF((D$35-$C$24)&lt;0,0,IF((D$35-$C$24)&gt;=7,1,INDEX(Drivers!$D$86:$J$86,(D$35-$C$24)+1)))*IF((D$35-$C$24)&lt;Drivers!$C$87,1,Drivers!$C$88*Drivers!$C$89^((D$35-$C$24)-Drivers!$C$87))*$E$24</f>
        <v>0.616</v>
      </c>
      <c r="E54" s="24" t="n">
        <f aca="false">$D$24*$C$15*IF((E$35-$C$24)&lt;0,0,IF((E$35-$C$24)&gt;=7,1,INDEX(Drivers!$D$86:$J$86,(E$35-$C$24)+1)))*IF((E$35-$C$24)&lt;Drivers!$C$87,1,Drivers!$C$88*Drivers!$C$89^((E$35-$C$24)-Drivers!$C$87))*$E$24</f>
        <v>1.1088</v>
      </c>
      <c r="F54" s="24" t="n">
        <f aca="false">$D$24*$C$15*IF((F$35-$C$24)&lt;0,0,IF((F$35-$C$24)&gt;=7,1,INDEX(Drivers!$D$86:$J$86,(F$35-$C$24)+1)))*IF((F$35-$C$24)&lt;Drivers!$C$87,1,Drivers!$C$88*Drivers!$C$89^((F$35-$C$24)-Drivers!$C$87))*$E$24</f>
        <v>1.6016</v>
      </c>
      <c r="G54" s="24" t="n">
        <f aca="false">$D$24*$C$15*IF((G$35-$C$24)&lt;0,0,IF((G$35-$C$24)&gt;=7,1,INDEX(Drivers!$D$86:$J$86,(G$35-$C$24)+1)))*IF((G$35-$C$24)&lt;Drivers!$C$87,1,Drivers!$C$88*Drivers!$C$89^((G$35-$C$24)-Drivers!$C$87))*$E$24</f>
        <v>2.02048</v>
      </c>
      <c r="H54" s="24" t="n">
        <f aca="false">$D$24*$C$15*IF((H$35-$C$24)&lt;0,0,IF((H$35-$C$24)&gt;=7,1,INDEX(Drivers!$D$86:$J$86,(H$35-$C$24)+1)))*IF((H$35-$C$24)&lt;Drivers!$C$87,1,Drivers!$C$88*Drivers!$C$89^((H$35-$C$24)-Drivers!$C$87))*$E$24</f>
        <v>2.29152</v>
      </c>
      <c r="I54" s="24" t="n">
        <f aca="false">$D$24*$C$15*IF((I$35-$C$24)&lt;0,0,IF((I$35-$C$24)&gt;=7,1,INDEX(Drivers!$D$86:$J$86,(I$35-$C$24)+1)))*IF((I$35-$C$24)&lt;Drivers!$C$87,1,Drivers!$C$88*Drivers!$C$89^((I$35-$C$24)-Drivers!$C$87))*$E$24</f>
        <v>2.464</v>
      </c>
      <c r="J54" s="24" t="n">
        <f aca="false">$D$24*$C$15*IF((J$35-$C$24)&lt;0,0,IF((J$35-$C$24)&gt;=7,1,INDEX(Drivers!$D$86:$J$86,(J$35-$C$24)+1)))*IF((J$35-$C$24)&lt;Drivers!$C$87,1,Drivers!$C$88*Drivers!$C$89^((J$35-$C$24)-Drivers!$C$87))*$E$24</f>
        <v>2.464</v>
      </c>
      <c r="K54" s="24" t="n">
        <f aca="false">$D$24*$C$15*IF((K$35-$C$24)&lt;0,0,IF((K$35-$C$24)&gt;=7,1,INDEX(Drivers!$D$86:$J$86,(K$35-$C$24)+1)))*IF((K$35-$C$24)&lt;Drivers!$C$87,1,Drivers!$C$88*Drivers!$C$89^((K$35-$C$24)-Drivers!$C$87))*$E$24</f>
        <v>2.464</v>
      </c>
      <c r="L54" s="24" t="n">
        <f aca="false">$D$24*$C$15*IF((L$35-$C$24)&lt;0,0,IF((L$35-$C$24)&gt;=7,1,INDEX(Drivers!$D$86:$J$86,(L$35-$C$24)+1)))*IF((L$35-$C$24)&lt;Drivers!$C$87,1,Drivers!$C$88*Drivers!$C$89^((L$35-$C$24)-Drivers!$C$87))*$E$24</f>
        <v>2.464</v>
      </c>
      <c r="M54" s="24" t="n">
        <f aca="false">$D$24*$C$15*IF((M$35-$C$24)&lt;0,0,IF((M$35-$C$24)&gt;=7,1,INDEX(Drivers!$D$86:$J$86,(M$35-$C$24)+1)))*IF((M$35-$C$24)&lt;Drivers!$C$87,1,Drivers!$C$88*Drivers!$C$89^((M$35-$C$24)-Drivers!$C$87))*$E$24</f>
        <v>2.464</v>
      </c>
      <c r="N54" s="24" t="n">
        <f aca="false">$D$24*$C$15*IF((N$35-$C$24)&lt;0,0,IF((N$35-$C$24)&gt;=7,1,INDEX(Drivers!$D$86:$J$86,(N$35-$C$24)+1)))*IF((N$35-$C$24)&lt;Drivers!$C$87,1,Drivers!$C$88*Drivers!$C$89^((N$35-$C$24)-Drivers!$C$87))*$E$24</f>
        <v>2.464</v>
      </c>
      <c r="O54" s="24" t="n">
        <f aca="false">$D$24*$C$15*IF((O$35-$C$24)&lt;0,0,IF((O$35-$C$24)&gt;=7,1,INDEX(Drivers!$D$86:$J$86,(O$35-$C$24)+1)))*IF((O$35-$C$24)&lt;Drivers!$C$87,1,Drivers!$C$88*Drivers!$C$89^((O$35-$C$24)-Drivers!$C$87))*$E$24</f>
        <v>1.9712</v>
      </c>
      <c r="P54" s="24" t="n">
        <f aca="false">$D$24*$C$15*IF((P$35-$C$24)&lt;0,0,IF((P$35-$C$24)&gt;=7,1,INDEX(Drivers!$D$86:$J$86,(P$35-$C$24)+1)))*IF((P$35-$C$24)&lt;Drivers!$C$87,1,Drivers!$C$88*Drivers!$C$89^((P$35-$C$24)-Drivers!$C$87))*$E$24</f>
        <v>1.912064</v>
      </c>
      <c r="Q54" s="24" t="n">
        <f aca="false">$D$24*$C$15*IF((Q$35-$C$24)&lt;0,0,IF((Q$35-$C$24)&gt;=7,1,INDEX(Drivers!$D$86:$J$86,(Q$35-$C$24)+1)))*IF((Q$35-$C$24)&lt;Drivers!$C$87,1,Drivers!$C$88*Drivers!$C$89^((Q$35-$C$24)-Drivers!$C$87))*$E$24</f>
        <v>1.85470208</v>
      </c>
      <c r="R54" s="24" t="n">
        <f aca="false">$D$24*$C$15*IF((R$35-$C$24)&lt;0,0,IF((R$35-$C$24)&gt;=7,1,INDEX(Drivers!$D$86:$J$86,(R$35-$C$24)+1)))*IF((R$35-$C$24)&lt;Drivers!$C$87,1,Drivers!$C$88*Drivers!$C$89^((R$35-$C$24)-Drivers!$C$87))*$E$24</f>
        <v>1.7990610176</v>
      </c>
      <c r="S54" s="24" t="n">
        <f aca="false">$D$24*$C$15*IF((S$35-$C$24)&lt;0,0,IF((S$35-$C$24)&gt;=7,1,INDEX(Drivers!$D$86:$J$86,(S$35-$C$24)+1)))*IF((S$35-$C$24)&lt;Drivers!$C$87,1,Drivers!$C$88*Drivers!$C$89^((S$35-$C$24)-Drivers!$C$87))*$E$24</f>
        <v>1.745089187072</v>
      </c>
      <c r="T54" s="24" t="n">
        <f aca="false">$D$24*$C$15*IF((T$35-$C$24)&lt;0,0,IF((T$35-$C$24)&gt;=7,1,INDEX(Drivers!$D$86:$J$86,(T$35-$C$24)+1)))*IF((T$35-$C$24)&lt;Drivers!$C$87,1,Drivers!$C$88*Drivers!$C$89^((T$35-$C$24)-Drivers!$C$87))*$E$24</f>
        <v>1.69273651145984</v>
      </c>
      <c r="U54" s="24" t="n">
        <f aca="false">$D$24*$C$15*IF((U$35-$C$24)&lt;0,0,IF((U$35-$C$24)&gt;=7,1,INDEX(Drivers!$D$86:$J$86,(U$35-$C$24)+1)))*IF((U$35-$C$24)&lt;Drivers!$C$87,1,Drivers!$C$88*Drivers!$C$89^((U$35-$C$24)-Drivers!$C$87))*$E$24</f>
        <v>1.64195441611604</v>
      </c>
    </row>
    <row r="55" customFormat="false" ht="15" hidden="false" customHeight="false" outlineLevel="0" collapsed="false">
      <c r="A55" s="9" t="s">
        <v>344</v>
      </c>
      <c r="B55" s="35" t="s">
        <v>326</v>
      </c>
      <c r="C55" s="24" t="n">
        <f aca="false">$D$25*$C$15*IF((C$35-$C$25)&lt;0,0,IF((C$35-$C$25)&gt;=7,1,INDEX(Drivers!$D$86:$J$86,(C$35-$C$25)+1)))*IF((C$35-$C$25)&lt;Drivers!$C$87,1,Drivers!$C$88*Drivers!$C$89^((C$35-$C$25)-Drivers!$C$87))*$E$25</f>
        <v>0</v>
      </c>
      <c r="D55" s="24" t="n">
        <f aca="false">$D$25*$C$15*IF((D$35-$C$25)&lt;0,0,IF((D$35-$C$25)&gt;=7,1,INDEX(Drivers!$D$86:$J$86,(D$35-$C$25)+1)))*IF((D$35-$C$25)&lt;Drivers!$C$87,1,Drivers!$C$88*Drivers!$C$89^((D$35-$C$25)-Drivers!$C$87))*$E$25</f>
        <v>0</v>
      </c>
      <c r="E55" s="24" t="n">
        <f aca="false">$D$25*$C$15*IF((E$35-$C$25)&lt;0,0,IF((E$35-$C$25)&gt;=7,1,INDEX(Drivers!$D$86:$J$86,(E$35-$C$25)+1)))*IF((E$35-$C$25)&lt;Drivers!$C$87,1,Drivers!$C$88*Drivers!$C$89^((E$35-$C$25)-Drivers!$C$87))*$E$25</f>
        <v>0</v>
      </c>
      <c r="F55" s="24" t="n">
        <f aca="false">$D$25*$C$15*IF((F$35-$C$25)&lt;0,0,IF((F$35-$C$25)&gt;=7,1,INDEX(Drivers!$D$86:$J$86,(F$35-$C$25)+1)))*IF((F$35-$C$25)&lt;Drivers!$C$87,1,Drivers!$C$88*Drivers!$C$89^((F$35-$C$25)-Drivers!$C$87))*$E$25</f>
        <v>0</v>
      </c>
      <c r="G55" s="24" t="n">
        <f aca="false">$D$25*$C$15*IF((G$35-$C$25)&lt;0,0,IF((G$35-$C$25)&gt;=7,1,INDEX(Drivers!$D$86:$J$86,(G$35-$C$25)+1)))*IF((G$35-$C$25)&lt;Drivers!$C$87,1,Drivers!$C$88*Drivers!$C$89^((G$35-$C$25)-Drivers!$C$87))*$E$25</f>
        <v>0.144</v>
      </c>
      <c r="H55" s="24" t="n">
        <f aca="false">$D$25*$C$15*IF((H$35-$C$25)&lt;0,0,IF((H$35-$C$25)&gt;=7,1,INDEX(Drivers!$D$86:$J$86,(H$35-$C$25)+1)))*IF((H$35-$C$25)&lt;Drivers!$C$87,1,Drivers!$C$88*Drivers!$C$89^((H$35-$C$25)-Drivers!$C$87))*$E$25</f>
        <v>0.45</v>
      </c>
      <c r="I55" s="24" t="n">
        <f aca="false">$D$25*$C$15*IF((I$35-$C$25)&lt;0,0,IF((I$35-$C$25)&gt;=7,1,INDEX(Drivers!$D$86:$J$86,(I$35-$C$25)+1)))*IF((I$35-$C$25)&lt;Drivers!$C$87,1,Drivers!$C$88*Drivers!$C$89^((I$35-$C$25)-Drivers!$C$87))*$E$25</f>
        <v>0.81</v>
      </c>
      <c r="J55" s="24" t="n">
        <f aca="false">$D$25*$C$15*IF((J$35-$C$25)&lt;0,0,IF((J$35-$C$25)&gt;=7,1,INDEX(Drivers!$D$86:$J$86,(J$35-$C$25)+1)))*IF((J$35-$C$25)&lt;Drivers!$C$87,1,Drivers!$C$88*Drivers!$C$89^((J$35-$C$25)-Drivers!$C$87))*$E$25</f>
        <v>1.17</v>
      </c>
      <c r="K55" s="24" t="n">
        <f aca="false">$D$25*$C$15*IF((K$35-$C$25)&lt;0,0,IF((K$35-$C$25)&gt;=7,1,INDEX(Drivers!$D$86:$J$86,(K$35-$C$25)+1)))*IF((K$35-$C$25)&lt;Drivers!$C$87,1,Drivers!$C$88*Drivers!$C$89^((K$35-$C$25)-Drivers!$C$87))*$E$25</f>
        <v>1.476</v>
      </c>
      <c r="L55" s="24" t="n">
        <f aca="false">$D$25*$C$15*IF((L$35-$C$25)&lt;0,0,IF((L$35-$C$25)&gt;=7,1,INDEX(Drivers!$D$86:$J$86,(L$35-$C$25)+1)))*IF((L$35-$C$25)&lt;Drivers!$C$87,1,Drivers!$C$88*Drivers!$C$89^((L$35-$C$25)-Drivers!$C$87))*$E$25</f>
        <v>1.674</v>
      </c>
      <c r="M55" s="24" t="n">
        <f aca="false">$D$25*$C$15*IF((M$35-$C$25)&lt;0,0,IF((M$35-$C$25)&gt;=7,1,INDEX(Drivers!$D$86:$J$86,(M$35-$C$25)+1)))*IF((M$35-$C$25)&lt;Drivers!$C$87,1,Drivers!$C$88*Drivers!$C$89^((M$35-$C$25)-Drivers!$C$87))*$E$25</f>
        <v>1.8</v>
      </c>
      <c r="N55" s="24" t="n">
        <f aca="false">$D$25*$C$15*IF((N$35-$C$25)&lt;0,0,IF((N$35-$C$25)&gt;=7,1,INDEX(Drivers!$D$86:$J$86,(N$35-$C$25)+1)))*IF((N$35-$C$25)&lt;Drivers!$C$87,1,Drivers!$C$88*Drivers!$C$89^((N$35-$C$25)-Drivers!$C$87))*$E$25</f>
        <v>1.8</v>
      </c>
      <c r="O55" s="24" t="n">
        <f aca="false">$D$25*$C$15*IF((O$35-$C$25)&lt;0,0,IF((O$35-$C$25)&gt;=7,1,INDEX(Drivers!$D$86:$J$86,(O$35-$C$25)+1)))*IF((O$35-$C$25)&lt;Drivers!$C$87,1,Drivers!$C$88*Drivers!$C$89^((O$35-$C$25)-Drivers!$C$87))*$E$25</f>
        <v>1.8</v>
      </c>
      <c r="P55" s="24" t="n">
        <f aca="false">$D$25*$C$15*IF((P$35-$C$25)&lt;0,0,IF((P$35-$C$25)&gt;=7,1,INDEX(Drivers!$D$86:$J$86,(P$35-$C$25)+1)))*IF((P$35-$C$25)&lt;Drivers!$C$87,1,Drivers!$C$88*Drivers!$C$89^((P$35-$C$25)-Drivers!$C$87))*$E$25</f>
        <v>1.8</v>
      </c>
      <c r="Q55" s="24" t="n">
        <f aca="false">$D$25*$C$15*IF((Q$35-$C$25)&lt;0,0,IF((Q$35-$C$25)&gt;=7,1,INDEX(Drivers!$D$86:$J$86,(Q$35-$C$25)+1)))*IF((Q$35-$C$25)&lt;Drivers!$C$87,1,Drivers!$C$88*Drivers!$C$89^((Q$35-$C$25)-Drivers!$C$87))*$E$25</f>
        <v>1.8</v>
      </c>
      <c r="R55" s="24" t="n">
        <f aca="false">$D$25*$C$15*IF((R$35-$C$25)&lt;0,0,IF((R$35-$C$25)&gt;=7,1,INDEX(Drivers!$D$86:$J$86,(R$35-$C$25)+1)))*IF((R$35-$C$25)&lt;Drivers!$C$87,1,Drivers!$C$88*Drivers!$C$89^((R$35-$C$25)-Drivers!$C$87))*$E$25</f>
        <v>1.8</v>
      </c>
      <c r="S55" s="24" t="n">
        <f aca="false">$D$25*$C$15*IF((S$35-$C$25)&lt;0,0,IF((S$35-$C$25)&gt;=7,1,INDEX(Drivers!$D$86:$J$86,(S$35-$C$25)+1)))*IF((S$35-$C$25)&lt;Drivers!$C$87,1,Drivers!$C$88*Drivers!$C$89^((S$35-$C$25)-Drivers!$C$87))*$E$25</f>
        <v>1.44</v>
      </c>
      <c r="T55" s="24" t="n">
        <f aca="false">$D$25*$C$15*IF((T$35-$C$25)&lt;0,0,IF((T$35-$C$25)&gt;=7,1,INDEX(Drivers!$D$86:$J$86,(T$35-$C$25)+1)))*IF((T$35-$C$25)&lt;Drivers!$C$87,1,Drivers!$C$88*Drivers!$C$89^((T$35-$C$25)-Drivers!$C$87))*$E$25</f>
        <v>1.3968</v>
      </c>
      <c r="U55" s="24" t="n">
        <f aca="false">$D$25*$C$15*IF((U$35-$C$25)&lt;0,0,IF((U$35-$C$25)&gt;=7,1,INDEX(Drivers!$D$86:$J$86,(U$35-$C$25)+1)))*IF((U$35-$C$25)&lt;Drivers!$C$87,1,Drivers!$C$88*Drivers!$C$89^((U$35-$C$25)-Drivers!$C$87))*$E$25</f>
        <v>1.354896</v>
      </c>
    </row>
    <row r="56" customFormat="false" ht="15" hidden="false" customHeight="false" outlineLevel="0" collapsed="false">
      <c r="A56" s="9" t="s">
        <v>345</v>
      </c>
      <c r="B56" s="35" t="s">
        <v>326</v>
      </c>
      <c r="C56" s="24" t="n">
        <f aca="false">$D$26*$C$15*IF((C$35-$C$26)&lt;0,0,IF((C$35-$C$26)&gt;=7,1,INDEX(Drivers!$D$86:$J$86,(C$35-$C$26)+1)))*IF((C$35-$C$26)&lt;Drivers!$C$87,1,Drivers!$C$88*Drivers!$C$89^((C$35-$C$26)-Drivers!$C$87))*$E$26</f>
        <v>0</v>
      </c>
      <c r="D56" s="24" t="n">
        <f aca="false">$D$26*$C$15*IF((D$35-$C$26)&lt;0,0,IF((D$35-$C$26)&gt;=7,1,INDEX(Drivers!$D$86:$J$86,(D$35-$C$26)+1)))*IF((D$35-$C$26)&lt;Drivers!$C$87,1,Drivers!$C$88*Drivers!$C$89^((D$35-$C$26)-Drivers!$C$87))*$E$26</f>
        <v>0</v>
      </c>
      <c r="E56" s="24" t="n">
        <f aca="false">$D$26*$C$15*IF((E$35-$C$26)&lt;0,0,IF((E$35-$C$26)&gt;=7,1,INDEX(Drivers!$D$86:$J$86,(E$35-$C$26)+1)))*IF((E$35-$C$26)&lt;Drivers!$C$87,1,Drivers!$C$88*Drivers!$C$89^((E$35-$C$26)-Drivers!$C$87))*$E$26</f>
        <v>0</v>
      </c>
      <c r="F56" s="24" t="n">
        <f aca="false">$D$26*$C$15*IF((F$35-$C$26)&lt;0,0,IF((F$35-$C$26)&gt;=7,1,INDEX(Drivers!$D$86:$J$86,(F$35-$C$26)+1)))*IF((F$35-$C$26)&lt;Drivers!$C$87,1,Drivers!$C$88*Drivers!$C$89^((F$35-$C$26)-Drivers!$C$87))*$E$26</f>
        <v>0</v>
      </c>
      <c r="G56" s="24" t="n">
        <f aca="false">$D$26*$C$15*IF((G$35-$C$26)&lt;0,0,IF((G$35-$C$26)&gt;=7,1,INDEX(Drivers!$D$86:$J$86,(G$35-$C$26)+1)))*IF((G$35-$C$26)&lt;Drivers!$C$87,1,Drivers!$C$88*Drivers!$C$89^((G$35-$C$26)-Drivers!$C$87))*$E$26</f>
        <v>0</v>
      </c>
      <c r="H56" s="24" t="n">
        <f aca="false">$D$26*$C$15*IF((H$35-$C$26)&lt;0,0,IF((H$35-$C$26)&gt;=7,1,INDEX(Drivers!$D$86:$J$86,(H$35-$C$26)+1)))*IF((H$35-$C$26)&lt;Drivers!$C$87,1,Drivers!$C$88*Drivers!$C$89^((H$35-$C$26)-Drivers!$C$87))*$E$26</f>
        <v>0</v>
      </c>
      <c r="I56" s="24" t="n">
        <f aca="false">$D$26*$C$15*IF((I$35-$C$26)&lt;0,0,IF((I$35-$C$26)&gt;=7,1,INDEX(Drivers!$D$86:$J$86,(I$35-$C$26)+1)))*IF((I$35-$C$26)&lt;Drivers!$C$87,1,Drivers!$C$88*Drivers!$C$89^((I$35-$C$26)-Drivers!$C$87))*$E$26</f>
        <v>0</v>
      </c>
      <c r="J56" s="24" t="n">
        <f aca="false">$D$26*$C$15*IF((J$35-$C$26)&lt;0,0,IF((J$35-$C$26)&gt;=7,1,INDEX(Drivers!$D$86:$J$86,(J$35-$C$26)+1)))*IF((J$35-$C$26)&lt;Drivers!$C$87,1,Drivers!$C$88*Drivers!$C$89^((J$35-$C$26)-Drivers!$C$87))*$E$26</f>
        <v>0.048</v>
      </c>
      <c r="K56" s="24" t="n">
        <f aca="false">$D$26*$C$15*IF((K$35-$C$26)&lt;0,0,IF((K$35-$C$26)&gt;=7,1,INDEX(Drivers!$D$86:$J$86,(K$35-$C$26)+1)))*IF((K$35-$C$26)&lt;Drivers!$C$87,1,Drivers!$C$88*Drivers!$C$89^((K$35-$C$26)-Drivers!$C$87))*$E$26</f>
        <v>0.15</v>
      </c>
      <c r="L56" s="24" t="n">
        <f aca="false">$D$26*$C$15*IF((L$35-$C$26)&lt;0,0,IF((L$35-$C$26)&gt;=7,1,INDEX(Drivers!$D$86:$J$86,(L$35-$C$26)+1)))*IF((L$35-$C$26)&lt;Drivers!$C$87,1,Drivers!$C$88*Drivers!$C$89^((L$35-$C$26)-Drivers!$C$87))*$E$26</f>
        <v>0.27</v>
      </c>
      <c r="M56" s="24" t="n">
        <f aca="false">$D$26*$C$15*IF((M$35-$C$26)&lt;0,0,IF((M$35-$C$26)&gt;=7,1,INDEX(Drivers!$D$86:$J$86,(M$35-$C$26)+1)))*IF((M$35-$C$26)&lt;Drivers!$C$87,1,Drivers!$C$88*Drivers!$C$89^((M$35-$C$26)-Drivers!$C$87))*$E$26</f>
        <v>0.39</v>
      </c>
      <c r="N56" s="24" t="n">
        <f aca="false">$D$26*$C$15*IF((N$35-$C$26)&lt;0,0,IF((N$35-$C$26)&gt;=7,1,INDEX(Drivers!$D$86:$J$86,(N$35-$C$26)+1)))*IF((N$35-$C$26)&lt;Drivers!$C$87,1,Drivers!$C$88*Drivers!$C$89^((N$35-$C$26)-Drivers!$C$87))*$E$26</f>
        <v>0.492</v>
      </c>
      <c r="O56" s="24" t="n">
        <f aca="false">$D$26*$C$15*IF((O$35-$C$26)&lt;0,0,IF((O$35-$C$26)&gt;=7,1,INDEX(Drivers!$D$86:$J$86,(O$35-$C$26)+1)))*IF((O$35-$C$26)&lt;Drivers!$C$87,1,Drivers!$C$88*Drivers!$C$89^((O$35-$C$26)-Drivers!$C$87))*$E$26</f>
        <v>0.558</v>
      </c>
      <c r="P56" s="24" t="n">
        <f aca="false">$D$26*$C$15*IF((P$35-$C$26)&lt;0,0,IF((P$35-$C$26)&gt;=7,1,INDEX(Drivers!$D$86:$J$86,(P$35-$C$26)+1)))*IF((P$35-$C$26)&lt;Drivers!$C$87,1,Drivers!$C$88*Drivers!$C$89^((P$35-$C$26)-Drivers!$C$87))*$E$26</f>
        <v>0.6</v>
      </c>
      <c r="Q56" s="24" t="n">
        <f aca="false">$D$26*$C$15*IF((Q$35-$C$26)&lt;0,0,IF((Q$35-$C$26)&gt;=7,1,INDEX(Drivers!$D$86:$J$86,(Q$35-$C$26)+1)))*IF((Q$35-$C$26)&lt;Drivers!$C$87,1,Drivers!$C$88*Drivers!$C$89^((Q$35-$C$26)-Drivers!$C$87))*$E$26</f>
        <v>0.6</v>
      </c>
      <c r="R56" s="24" t="n">
        <f aca="false">$D$26*$C$15*IF((R$35-$C$26)&lt;0,0,IF((R$35-$C$26)&gt;=7,1,INDEX(Drivers!$D$86:$J$86,(R$35-$C$26)+1)))*IF((R$35-$C$26)&lt;Drivers!$C$87,1,Drivers!$C$88*Drivers!$C$89^((R$35-$C$26)-Drivers!$C$87))*$E$26</f>
        <v>0.6</v>
      </c>
      <c r="S56" s="24" t="n">
        <f aca="false">$D$26*$C$15*IF((S$35-$C$26)&lt;0,0,IF((S$35-$C$26)&gt;=7,1,INDEX(Drivers!$D$86:$J$86,(S$35-$C$26)+1)))*IF((S$35-$C$26)&lt;Drivers!$C$87,1,Drivers!$C$88*Drivers!$C$89^((S$35-$C$26)-Drivers!$C$87))*$E$26</f>
        <v>0.6</v>
      </c>
      <c r="T56" s="24" t="n">
        <f aca="false">$D$26*$C$15*IF((T$35-$C$26)&lt;0,0,IF((T$35-$C$26)&gt;=7,1,INDEX(Drivers!$D$86:$J$86,(T$35-$C$26)+1)))*IF((T$35-$C$26)&lt;Drivers!$C$87,1,Drivers!$C$88*Drivers!$C$89^((T$35-$C$26)-Drivers!$C$87))*$E$26</f>
        <v>0.6</v>
      </c>
      <c r="U56" s="24" t="n">
        <f aca="false">$D$26*$C$15*IF((U$35-$C$26)&lt;0,0,IF((U$35-$C$26)&gt;=7,1,INDEX(Drivers!$D$86:$J$86,(U$35-$C$26)+1)))*IF((U$35-$C$26)&lt;Drivers!$C$87,1,Drivers!$C$88*Drivers!$C$89^((U$35-$C$26)-Drivers!$C$87))*$E$26</f>
        <v>0.6</v>
      </c>
    </row>
    <row r="57" customFormat="false" ht="15" hidden="false" customHeight="false" outlineLevel="0" collapsed="false">
      <c r="A57" s="9" t="s">
        <v>346</v>
      </c>
      <c r="B57" s="35" t="s">
        <v>326</v>
      </c>
      <c r="C57" s="24" t="n">
        <f aca="false">$D$27*$C$15*IF((C$35-$C$27)&lt;0,0,IF((C$35-$C$27)&gt;=7,1,INDEX(Drivers!$D$86:$J$86,(C$35-$C$27)+1)))*IF((C$35-$C$27)&lt;Drivers!$C$87,1,Drivers!$C$88*Drivers!$C$89^((C$35-$C$27)-Drivers!$C$87))*$E$27</f>
        <v>0</v>
      </c>
      <c r="D57" s="24" t="n">
        <f aca="false">$D$27*$C$15*IF((D$35-$C$27)&lt;0,0,IF((D$35-$C$27)&gt;=7,1,INDEX(Drivers!$D$86:$J$86,(D$35-$C$27)+1)))*IF((D$35-$C$27)&lt;Drivers!$C$87,1,Drivers!$C$88*Drivers!$C$89^((D$35-$C$27)-Drivers!$C$87))*$E$27</f>
        <v>0</v>
      </c>
      <c r="E57" s="24" t="n">
        <f aca="false">$D$27*$C$15*IF((E$35-$C$27)&lt;0,0,IF((E$35-$C$27)&gt;=7,1,INDEX(Drivers!$D$86:$J$86,(E$35-$C$27)+1)))*IF((E$35-$C$27)&lt;Drivers!$C$87,1,Drivers!$C$88*Drivers!$C$89^((E$35-$C$27)-Drivers!$C$87))*$E$27</f>
        <v>0</v>
      </c>
      <c r="F57" s="24" t="n">
        <f aca="false">$D$27*$C$15*IF((F$35-$C$27)&lt;0,0,IF((F$35-$C$27)&gt;=7,1,INDEX(Drivers!$D$86:$J$86,(F$35-$C$27)+1)))*IF((F$35-$C$27)&lt;Drivers!$C$87,1,Drivers!$C$88*Drivers!$C$89^((F$35-$C$27)-Drivers!$C$87))*$E$27</f>
        <v>0</v>
      </c>
      <c r="G57" s="24" t="n">
        <f aca="false">$D$27*$C$15*IF((G$35-$C$27)&lt;0,0,IF((G$35-$C$27)&gt;=7,1,INDEX(Drivers!$D$86:$J$86,(G$35-$C$27)+1)))*IF((G$35-$C$27)&lt;Drivers!$C$87,1,Drivers!$C$88*Drivers!$C$89^((G$35-$C$27)-Drivers!$C$87))*$E$27</f>
        <v>0</v>
      </c>
      <c r="H57" s="24" t="n">
        <f aca="false">$D$27*$C$15*IF((H$35-$C$27)&lt;0,0,IF((H$35-$C$27)&gt;=7,1,INDEX(Drivers!$D$86:$J$86,(H$35-$C$27)+1)))*IF((H$35-$C$27)&lt;Drivers!$C$87,1,Drivers!$C$88*Drivers!$C$89^((H$35-$C$27)-Drivers!$C$87))*$E$27</f>
        <v>0</v>
      </c>
      <c r="I57" s="24" t="n">
        <f aca="false">$D$27*$C$15*IF((I$35-$C$27)&lt;0,0,IF((I$35-$C$27)&gt;=7,1,INDEX(Drivers!$D$86:$J$86,(I$35-$C$27)+1)))*IF((I$35-$C$27)&lt;Drivers!$C$87,1,Drivers!$C$88*Drivers!$C$89^((I$35-$C$27)-Drivers!$C$87))*$E$27</f>
        <v>0</v>
      </c>
      <c r="J57" s="24" t="n">
        <f aca="false">$D$27*$C$15*IF((J$35-$C$27)&lt;0,0,IF((J$35-$C$27)&gt;=7,1,INDEX(Drivers!$D$86:$J$86,(J$35-$C$27)+1)))*IF((J$35-$C$27)&lt;Drivers!$C$87,1,Drivers!$C$88*Drivers!$C$89^((J$35-$C$27)-Drivers!$C$87))*$E$27</f>
        <v>0</v>
      </c>
      <c r="K57" s="24" t="n">
        <f aca="false">$D$27*$C$15*IF((K$35-$C$27)&lt;0,0,IF((K$35-$C$27)&gt;=7,1,INDEX(Drivers!$D$86:$J$86,(K$35-$C$27)+1)))*IF((K$35-$C$27)&lt;Drivers!$C$87,1,Drivers!$C$88*Drivers!$C$89^((K$35-$C$27)-Drivers!$C$87))*$E$27</f>
        <v>0.07</v>
      </c>
      <c r="L57" s="24" t="n">
        <f aca="false">$D$27*$C$15*IF((L$35-$C$27)&lt;0,0,IF((L$35-$C$27)&gt;=7,1,INDEX(Drivers!$D$86:$J$86,(L$35-$C$27)+1)))*IF((L$35-$C$27)&lt;Drivers!$C$87,1,Drivers!$C$88*Drivers!$C$89^((L$35-$C$27)-Drivers!$C$87))*$E$27</f>
        <v>0.21875</v>
      </c>
      <c r="M57" s="24" t="n">
        <f aca="false">$D$27*$C$15*IF((M$35-$C$27)&lt;0,0,IF((M$35-$C$27)&gt;=7,1,INDEX(Drivers!$D$86:$J$86,(M$35-$C$27)+1)))*IF((M$35-$C$27)&lt;Drivers!$C$87,1,Drivers!$C$88*Drivers!$C$89^((M$35-$C$27)-Drivers!$C$87))*$E$27</f>
        <v>0.39375</v>
      </c>
      <c r="N57" s="24" t="n">
        <f aca="false">$D$27*$C$15*IF((N$35-$C$27)&lt;0,0,IF((N$35-$C$27)&gt;=7,1,INDEX(Drivers!$D$86:$J$86,(N$35-$C$27)+1)))*IF((N$35-$C$27)&lt;Drivers!$C$87,1,Drivers!$C$88*Drivers!$C$89^((N$35-$C$27)-Drivers!$C$87))*$E$27</f>
        <v>0.56875</v>
      </c>
      <c r="O57" s="24" t="n">
        <f aca="false">$D$27*$C$15*IF((O$35-$C$27)&lt;0,0,IF((O$35-$C$27)&gt;=7,1,INDEX(Drivers!$D$86:$J$86,(O$35-$C$27)+1)))*IF((O$35-$C$27)&lt;Drivers!$C$87,1,Drivers!$C$88*Drivers!$C$89^((O$35-$C$27)-Drivers!$C$87))*$E$27</f>
        <v>0.7175</v>
      </c>
      <c r="P57" s="24" t="n">
        <f aca="false">$D$27*$C$15*IF((P$35-$C$27)&lt;0,0,IF((P$35-$C$27)&gt;=7,1,INDEX(Drivers!$D$86:$J$86,(P$35-$C$27)+1)))*IF((P$35-$C$27)&lt;Drivers!$C$87,1,Drivers!$C$88*Drivers!$C$89^((P$35-$C$27)-Drivers!$C$87))*$E$27</f>
        <v>0.81375</v>
      </c>
      <c r="Q57" s="24" t="n">
        <f aca="false">$D$27*$C$15*IF((Q$35-$C$27)&lt;0,0,IF((Q$35-$C$27)&gt;=7,1,INDEX(Drivers!$D$86:$J$86,(Q$35-$C$27)+1)))*IF((Q$35-$C$27)&lt;Drivers!$C$87,1,Drivers!$C$88*Drivers!$C$89^((Q$35-$C$27)-Drivers!$C$87))*$E$27</f>
        <v>0.875</v>
      </c>
      <c r="R57" s="24" t="n">
        <f aca="false">$D$27*$C$15*IF((R$35-$C$27)&lt;0,0,IF((R$35-$C$27)&gt;=7,1,INDEX(Drivers!$D$86:$J$86,(R$35-$C$27)+1)))*IF((R$35-$C$27)&lt;Drivers!$C$87,1,Drivers!$C$88*Drivers!$C$89^((R$35-$C$27)-Drivers!$C$87))*$E$27</f>
        <v>0.875</v>
      </c>
      <c r="S57" s="24" t="n">
        <f aca="false">$D$27*$C$15*IF((S$35-$C$27)&lt;0,0,IF((S$35-$C$27)&gt;=7,1,INDEX(Drivers!$D$86:$J$86,(S$35-$C$27)+1)))*IF((S$35-$C$27)&lt;Drivers!$C$87,1,Drivers!$C$88*Drivers!$C$89^((S$35-$C$27)-Drivers!$C$87))*$E$27</f>
        <v>0.875</v>
      </c>
      <c r="T57" s="24" t="n">
        <f aca="false">$D$27*$C$15*IF((T$35-$C$27)&lt;0,0,IF((T$35-$C$27)&gt;=7,1,INDEX(Drivers!$D$86:$J$86,(T$35-$C$27)+1)))*IF((T$35-$C$27)&lt;Drivers!$C$87,1,Drivers!$C$88*Drivers!$C$89^((T$35-$C$27)-Drivers!$C$87))*$E$27</f>
        <v>0.875</v>
      </c>
      <c r="U57" s="24" t="n">
        <f aca="false">$D$27*$C$15*IF((U$35-$C$27)&lt;0,0,IF((U$35-$C$27)&gt;=7,1,INDEX(Drivers!$D$86:$J$86,(U$35-$C$27)+1)))*IF((U$35-$C$27)&lt;Drivers!$C$87,1,Drivers!$C$88*Drivers!$C$89^((U$35-$C$27)-Drivers!$C$87))*$E$27</f>
        <v>0.875</v>
      </c>
    </row>
    <row r="58" customFormat="false" ht="15" hidden="false" customHeight="false" outlineLevel="0" collapsed="false">
      <c r="A58" s="9" t="s">
        <v>347</v>
      </c>
      <c r="B58" s="35" t="s">
        <v>326</v>
      </c>
      <c r="C58" s="24" t="n">
        <f aca="false">$D$28*$C$15*IF((C$35-$C$28)&lt;0,0,IF((C$35-$C$28)&gt;=7,1,INDEX(Drivers!$D$86:$J$86,(C$35-$C$28)+1)))*IF((C$35-$C$28)&lt;Drivers!$C$87,1,Drivers!$C$88*Drivers!$C$89^((C$35-$C$28)-Drivers!$C$87))*$E$28</f>
        <v>0</v>
      </c>
      <c r="D58" s="24" t="n">
        <f aca="false">$D$28*$C$15*IF((D$35-$C$28)&lt;0,0,IF((D$35-$C$28)&gt;=7,1,INDEX(Drivers!$D$86:$J$86,(D$35-$C$28)+1)))*IF((D$35-$C$28)&lt;Drivers!$C$87,1,Drivers!$C$88*Drivers!$C$89^((D$35-$C$28)-Drivers!$C$87))*$E$28</f>
        <v>0</v>
      </c>
      <c r="E58" s="24" t="n">
        <f aca="false">$D$28*$C$15*IF((E$35-$C$28)&lt;0,0,IF((E$35-$C$28)&gt;=7,1,INDEX(Drivers!$D$86:$J$86,(E$35-$C$28)+1)))*IF((E$35-$C$28)&lt;Drivers!$C$87,1,Drivers!$C$88*Drivers!$C$89^((E$35-$C$28)-Drivers!$C$87))*$E$28</f>
        <v>0</v>
      </c>
      <c r="F58" s="24" t="n">
        <f aca="false">$D$28*$C$15*IF((F$35-$C$28)&lt;0,0,IF((F$35-$C$28)&gt;=7,1,INDEX(Drivers!$D$86:$J$86,(F$35-$C$28)+1)))*IF((F$35-$C$28)&lt;Drivers!$C$87,1,Drivers!$C$88*Drivers!$C$89^((F$35-$C$28)-Drivers!$C$87))*$E$28</f>
        <v>0</v>
      </c>
      <c r="G58" s="24" t="n">
        <f aca="false">$D$28*$C$15*IF((G$35-$C$28)&lt;0,0,IF((G$35-$C$28)&gt;=7,1,INDEX(Drivers!$D$86:$J$86,(G$35-$C$28)+1)))*IF((G$35-$C$28)&lt;Drivers!$C$87,1,Drivers!$C$88*Drivers!$C$89^((G$35-$C$28)-Drivers!$C$87))*$E$28</f>
        <v>0.024</v>
      </c>
      <c r="H58" s="24" t="n">
        <f aca="false">$D$28*$C$15*IF((H$35-$C$28)&lt;0,0,IF((H$35-$C$28)&gt;=7,1,INDEX(Drivers!$D$86:$J$86,(H$35-$C$28)+1)))*IF((H$35-$C$28)&lt;Drivers!$C$87,1,Drivers!$C$88*Drivers!$C$89^((H$35-$C$28)-Drivers!$C$87))*$E$28</f>
        <v>0.075</v>
      </c>
      <c r="I58" s="24" t="n">
        <f aca="false">$D$28*$C$15*IF((I$35-$C$28)&lt;0,0,IF((I$35-$C$28)&gt;=7,1,INDEX(Drivers!$D$86:$J$86,(I$35-$C$28)+1)))*IF((I$35-$C$28)&lt;Drivers!$C$87,1,Drivers!$C$88*Drivers!$C$89^((I$35-$C$28)-Drivers!$C$87))*$E$28</f>
        <v>0.135</v>
      </c>
      <c r="J58" s="24" t="n">
        <f aca="false">$D$28*$C$15*IF((J$35-$C$28)&lt;0,0,IF((J$35-$C$28)&gt;=7,1,INDEX(Drivers!$D$86:$J$86,(J$35-$C$28)+1)))*IF((J$35-$C$28)&lt;Drivers!$C$87,1,Drivers!$C$88*Drivers!$C$89^((J$35-$C$28)-Drivers!$C$87))*$E$28</f>
        <v>0.195</v>
      </c>
      <c r="K58" s="24" t="n">
        <f aca="false">$D$28*$C$15*IF((K$35-$C$28)&lt;0,0,IF((K$35-$C$28)&gt;=7,1,INDEX(Drivers!$D$86:$J$86,(K$35-$C$28)+1)))*IF((K$35-$C$28)&lt;Drivers!$C$87,1,Drivers!$C$88*Drivers!$C$89^((K$35-$C$28)-Drivers!$C$87))*$E$28</f>
        <v>0.246</v>
      </c>
      <c r="L58" s="24" t="n">
        <f aca="false">$D$28*$C$15*IF((L$35-$C$28)&lt;0,0,IF((L$35-$C$28)&gt;=7,1,INDEX(Drivers!$D$86:$J$86,(L$35-$C$28)+1)))*IF((L$35-$C$28)&lt;Drivers!$C$87,1,Drivers!$C$88*Drivers!$C$89^((L$35-$C$28)-Drivers!$C$87))*$E$28</f>
        <v>0.279</v>
      </c>
      <c r="M58" s="24" t="n">
        <f aca="false">$D$28*$C$15*IF((M$35-$C$28)&lt;0,0,IF((M$35-$C$28)&gt;=7,1,INDEX(Drivers!$D$86:$J$86,(M$35-$C$28)+1)))*IF((M$35-$C$28)&lt;Drivers!$C$87,1,Drivers!$C$88*Drivers!$C$89^((M$35-$C$28)-Drivers!$C$87))*$E$28</f>
        <v>0.3</v>
      </c>
      <c r="N58" s="24" t="n">
        <f aca="false">$D$28*$C$15*IF((N$35-$C$28)&lt;0,0,IF((N$35-$C$28)&gt;=7,1,INDEX(Drivers!$D$86:$J$86,(N$35-$C$28)+1)))*IF((N$35-$C$28)&lt;Drivers!$C$87,1,Drivers!$C$88*Drivers!$C$89^((N$35-$C$28)-Drivers!$C$87))*$E$28</f>
        <v>0.3</v>
      </c>
      <c r="O58" s="24" t="n">
        <f aca="false">$D$28*$C$15*IF((O$35-$C$28)&lt;0,0,IF((O$35-$C$28)&gt;=7,1,INDEX(Drivers!$D$86:$J$86,(O$35-$C$28)+1)))*IF((O$35-$C$28)&lt;Drivers!$C$87,1,Drivers!$C$88*Drivers!$C$89^((O$35-$C$28)-Drivers!$C$87))*$E$28</f>
        <v>0.3</v>
      </c>
      <c r="P58" s="24" t="n">
        <f aca="false">$D$28*$C$15*IF((P$35-$C$28)&lt;0,0,IF((P$35-$C$28)&gt;=7,1,INDEX(Drivers!$D$86:$J$86,(P$35-$C$28)+1)))*IF((P$35-$C$28)&lt;Drivers!$C$87,1,Drivers!$C$88*Drivers!$C$89^((P$35-$C$28)-Drivers!$C$87))*$E$28</f>
        <v>0.3</v>
      </c>
      <c r="Q58" s="24" t="n">
        <f aca="false">$D$28*$C$15*IF((Q$35-$C$28)&lt;0,0,IF((Q$35-$C$28)&gt;=7,1,INDEX(Drivers!$D$86:$J$86,(Q$35-$C$28)+1)))*IF((Q$35-$C$28)&lt;Drivers!$C$87,1,Drivers!$C$88*Drivers!$C$89^((Q$35-$C$28)-Drivers!$C$87))*$E$28</f>
        <v>0.3</v>
      </c>
      <c r="R58" s="24" t="n">
        <f aca="false">$D$28*$C$15*IF((R$35-$C$28)&lt;0,0,IF((R$35-$C$28)&gt;=7,1,INDEX(Drivers!$D$86:$J$86,(R$35-$C$28)+1)))*IF((R$35-$C$28)&lt;Drivers!$C$87,1,Drivers!$C$88*Drivers!$C$89^((R$35-$C$28)-Drivers!$C$87))*$E$28</f>
        <v>0.3</v>
      </c>
      <c r="S58" s="24" t="n">
        <f aca="false">$D$28*$C$15*IF((S$35-$C$28)&lt;0,0,IF((S$35-$C$28)&gt;=7,1,INDEX(Drivers!$D$86:$J$86,(S$35-$C$28)+1)))*IF((S$35-$C$28)&lt;Drivers!$C$87,1,Drivers!$C$88*Drivers!$C$89^((S$35-$C$28)-Drivers!$C$87))*$E$28</f>
        <v>0.24</v>
      </c>
      <c r="T58" s="24" t="n">
        <f aca="false">$D$28*$C$15*IF((T$35-$C$28)&lt;0,0,IF((T$35-$C$28)&gt;=7,1,INDEX(Drivers!$D$86:$J$86,(T$35-$C$28)+1)))*IF((T$35-$C$28)&lt;Drivers!$C$87,1,Drivers!$C$88*Drivers!$C$89^((T$35-$C$28)-Drivers!$C$87))*$E$28</f>
        <v>0.2328</v>
      </c>
      <c r="U58" s="24" t="n">
        <f aca="false">$D$28*$C$15*IF((U$35-$C$28)&lt;0,0,IF((U$35-$C$28)&gt;=7,1,INDEX(Drivers!$D$86:$J$86,(U$35-$C$28)+1)))*IF((U$35-$C$28)&lt;Drivers!$C$87,1,Drivers!$C$88*Drivers!$C$89^((U$35-$C$28)-Drivers!$C$87))*$E$28</f>
        <v>0.225816</v>
      </c>
    </row>
    <row r="59" customFormat="false" ht="15" hidden="false" customHeight="false" outlineLevel="0" collapsed="false">
      <c r="A59" s="9" t="s">
        <v>348</v>
      </c>
      <c r="B59" s="35" t="s">
        <v>326</v>
      </c>
      <c r="C59" s="24" t="n">
        <f aca="false">$D$29*$C$15*IF((C$35-$C$29)&lt;0,0,IF((C$35-$C$29)&gt;=7,1,INDEX(Drivers!$D$86:$J$86,(C$35-$C$29)+1)))*IF((C$35-$C$29)&lt;Drivers!$C$87,1,Drivers!$C$88*Drivers!$C$89^((C$35-$C$29)-Drivers!$C$87))*$E$29</f>
        <v>0</v>
      </c>
      <c r="D59" s="24" t="n">
        <f aca="false">$D$29*$C$15*IF((D$35-$C$29)&lt;0,0,IF((D$35-$C$29)&gt;=7,1,INDEX(Drivers!$D$86:$J$86,(D$35-$C$29)+1)))*IF((D$35-$C$29)&lt;Drivers!$C$87,1,Drivers!$C$88*Drivers!$C$89^((D$35-$C$29)-Drivers!$C$87))*$E$29</f>
        <v>0</v>
      </c>
      <c r="E59" s="24" t="n">
        <f aca="false">$D$29*$C$15*IF((E$35-$C$29)&lt;0,0,IF((E$35-$C$29)&gt;=7,1,INDEX(Drivers!$D$86:$J$86,(E$35-$C$29)+1)))*IF((E$35-$C$29)&lt;Drivers!$C$87,1,Drivers!$C$88*Drivers!$C$89^((E$35-$C$29)-Drivers!$C$87))*$E$29</f>
        <v>0</v>
      </c>
      <c r="F59" s="24" t="n">
        <f aca="false">$D$29*$C$15*IF((F$35-$C$29)&lt;0,0,IF((F$35-$C$29)&gt;=7,1,INDEX(Drivers!$D$86:$J$86,(F$35-$C$29)+1)))*IF((F$35-$C$29)&lt;Drivers!$C$87,1,Drivers!$C$88*Drivers!$C$89^((F$35-$C$29)-Drivers!$C$87))*$E$29</f>
        <v>0</v>
      </c>
      <c r="G59" s="24" t="n">
        <f aca="false">$D$29*$C$15*IF((G$35-$C$29)&lt;0,0,IF((G$35-$C$29)&gt;=7,1,INDEX(Drivers!$D$86:$J$86,(G$35-$C$29)+1)))*IF((G$35-$C$29)&lt;Drivers!$C$87,1,Drivers!$C$88*Drivers!$C$89^((G$35-$C$29)-Drivers!$C$87))*$E$29</f>
        <v>0</v>
      </c>
      <c r="H59" s="24" t="n">
        <f aca="false">$D$29*$C$15*IF((H$35-$C$29)&lt;0,0,IF((H$35-$C$29)&gt;=7,1,INDEX(Drivers!$D$86:$J$86,(H$35-$C$29)+1)))*IF((H$35-$C$29)&lt;Drivers!$C$87,1,Drivers!$C$88*Drivers!$C$89^((H$35-$C$29)-Drivers!$C$87))*$E$29</f>
        <v>0</v>
      </c>
      <c r="I59" s="24" t="n">
        <f aca="false">$D$29*$C$15*IF((I$35-$C$29)&lt;0,0,IF((I$35-$C$29)&gt;=7,1,INDEX(Drivers!$D$86:$J$86,(I$35-$C$29)+1)))*IF((I$35-$C$29)&lt;Drivers!$C$87,1,Drivers!$C$88*Drivers!$C$89^((I$35-$C$29)-Drivers!$C$87))*$E$29</f>
        <v>0.016</v>
      </c>
      <c r="J59" s="24" t="n">
        <f aca="false">$D$29*$C$15*IF((J$35-$C$29)&lt;0,0,IF((J$35-$C$29)&gt;=7,1,INDEX(Drivers!$D$86:$J$86,(J$35-$C$29)+1)))*IF((J$35-$C$29)&lt;Drivers!$C$87,1,Drivers!$C$88*Drivers!$C$89^((J$35-$C$29)-Drivers!$C$87))*$E$29</f>
        <v>0.05</v>
      </c>
      <c r="K59" s="24" t="n">
        <f aca="false">$D$29*$C$15*IF((K$35-$C$29)&lt;0,0,IF((K$35-$C$29)&gt;=7,1,INDEX(Drivers!$D$86:$J$86,(K$35-$C$29)+1)))*IF((K$35-$C$29)&lt;Drivers!$C$87,1,Drivers!$C$88*Drivers!$C$89^((K$35-$C$29)-Drivers!$C$87))*$E$29</f>
        <v>0.09</v>
      </c>
      <c r="L59" s="24" t="n">
        <f aca="false">$D$29*$C$15*IF((L$35-$C$29)&lt;0,0,IF((L$35-$C$29)&gt;=7,1,INDEX(Drivers!$D$86:$J$86,(L$35-$C$29)+1)))*IF((L$35-$C$29)&lt;Drivers!$C$87,1,Drivers!$C$88*Drivers!$C$89^((L$35-$C$29)-Drivers!$C$87))*$E$29</f>
        <v>0.13</v>
      </c>
      <c r="M59" s="24" t="n">
        <f aca="false">$D$29*$C$15*IF((M$35-$C$29)&lt;0,0,IF((M$35-$C$29)&gt;=7,1,INDEX(Drivers!$D$86:$J$86,(M$35-$C$29)+1)))*IF((M$35-$C$29)&lt;Drivers!$C$87,1,Drivers!$C$88*Drivers!$C$89^((M$35-$C$29)-Drivers!$C$87))*$E$29</f>
        <v>0.164</v>
      </c>
      <c r="N59" s="24" t="n">
        <f aca="false">$D$29*$C$15*IF((N$35-$C$29)&lt;0,0,IF((N$35-$C$29)&gt;=7,1,INDEX(Drivers!$D$86:$J$86,(N$35-$C$29)+1)))*IF((N$35-$C$29)&lt;Drivers!$C$87,1,Drivers!$C$88*Drivers!$C$89^((N$35-$C$29)-Drivers!$C$87))*$E$29</f>
        <v>0.186</v>
      </c>
      <c r="O59" s="24" t="n">
        <f aca="false">$D$29*$C$15*IF((O$35-$C$29)&lt;0,0,IF((O$35-$C$29)&gt;=7,1,INDEX(Drivers!$D$86:$J$86,(O$35-$C$29)+1)))*IF((O$35-$C$29)&lt;Drivers!$C$87,1,Drivers!$C$88*Drivers!$C$89^((O$35-$C$29)-Drivers!$C$87))*$E$29</f>
        <v>0.2</v>
      </c>
      <c r="P59" s="24" t="n">
        <f aca="false">$D$29*$C$15*IF((P$35-$C$29)&lt;0,0,IF((P$35-$C$29)&gt;=7,1,INDEX(Drivers!$D$86:$J$86,(P$35-$C$29)+1)))*IF((P$35-$C$29)&lt;Drivers!$C$87,1,Drivers!$C$88*Drivers!$C$89^((P$35-$C$29)-Drivers!$C$87))*$E$29</f>
        <v>0.2</v>
      </c>
      <c r="Q59" s="24" t="n">
        <f aca="false">$D$29*$C$15*IF((Q$35-$C$29)&lt;0,0,IF((Q$35-$C$29)&gt;=7,1,INDEX(Drivers!$D$86:$J$86,(Q$35-$C$29)+1)))*IF((Q$35-$C$29)&lt;Drivers!$C$87,1,Drivers!$C$88*Drivers!$C$89^((Q$35-$C$29)-Drivers!$C$87))*$E$29</f>
        <v>0.2</v>
      </c>
      <c r="R59" s="24" t="n">
        <f aca="false">$D$29*$C$15*IF((R$35-$C$29)&lt;0,0,IF((R$35-$C$29)&gt;=7,1,INDEX(Drivers!$D$86:$J$86,(R$35-$C$29)+1)))*IF((R$35-$C$29)&lt;Drivers!$C$87,1,Drivers!$C$88*Drivers!$C$89^((R$35-$C$29)-Drivers!$C$87))*$E$29</f>
        <v>0.2</v>
      </c>
      <c r="S59" s="24" t="n">
        <f aca="false">$D$29*$C$15*IF((S$35-$C$29)&lt;0,0,IF((S$35-$C$29)&gt;=7,1,INDEX(Drivers!$D$86:$J$86,(S$35-$C$29)+1)))*IF((S$35-$C$29)&lt;Drivers!$C$87,1,Drivers!$C$88*Drivers!$C$89^((S$35-$C$29)-Drivers!$C$87))*$E$29</f>
        <v>0.2</v>
      </c>
      <c r="T59" s="24" t="n">
        <f aca="false">$D$29*$C$15*IF((T$35-$C$29)&lt;0,0,IF((T$35-$C$29)&gt;=7,1,INDEX(Drivers!$D$86:$J$86,(T$35-$C$29)+1)))*IF((T$35-$C$29)&lt;Drivers!$C$87,1,Drivers!$C$88*Drivers!$C$89^((T$35-$C$29)-Drivers!$C$87))*$E$29</f>
        <v>0.2</v>
      </c>
      <c r="U59" s="24" t="n">
        <f aca="false">$D$29*$C$15*IF((U$35-$C$29)&lt;0,0,IF((U$35-$C$29)&gt;=7,1,INDEX(Drivers!$D$86:$J$86,(U$35-$C$29)+1)))*IF((U$35-$C$29)&lt;Drivers!$C$87,1,Drivers!$C$88*Drivers!$C$89^((U$35-$C$29)-Drivers!$C$87))*$E$29</f>
        <v>0.16</v>
      </c>
    </row>
    <row r="60" customFormat="false" ht="15" hidden="false" customHeight="false" outlineLevel="0" collapsed="false">
      <c r="A60" s="9" t="s">
        <v>349</v>
      </c>
      <c r="B60" s="35" t="s">
        <v>326</v>
      </c>
      <c r="C60" s="24" t="n">
        <f aca="false">$D$30*$C$15*IF((C$35-$C$30)&lt;0,0,IF((C$35-$C$30)&gt;=7,1,INDEX(Drivers!$D$86:$J$86,(C$35-$C$30)+1)))*IF((C$35-$C$30)&lt;Drivers!$C$87,1,Drivers!$C$88*Drivers!$C$89^((C$35-$C$30)-Drivers!$C$87))*$E$30</f>
        <v>0</v>
      </c>
      <c r="D60" s="24" t="n">
        <f aca="false">$D$30*$C$15*IF((D$35-$C$30)&lt;0,0,IF((D$35-$C$30)&gt;=7,1,INDEX(Drivers!$D$86:$J$86,(D$35-$C$30)+1)))*IF((D$35-$C$30)&lt;Drivers!$C$87,1,Drivers!$C$88*Drivers!$C$89^((D$35-$C$30)-Drivers!$C$87))*$E$30</f>
        <v>0</v>
      </c>
      <c r="E60" s="24" t="n">
        <f aca="false">$D$30*$C$15*IF((E$35-$C$30)&lt;0,0,IF((E$35-$C$30)&gt;=7,1,INDEX(Drivers!$D$86:$J$86,(E$35-$C$30)+1)))*IF((E$35-$C$30)&lt;Drivers!$C$87,1,Drivers!$C$88*Drivers!$C$89^((E$35-$C$30)-Drivers!$C$87))*$E$30</f>
        <v>0</v>
      </c>
      <c r="F60" s="24" t="n">
        <f aca="false">$D$30*$C$15*IF((F$35-$C$30)&lt;0,0,IF((F$35-$C$30)&gt;=7,1,INDEX(Drivers!$D$86:$J$86,(F$35-$C$30)+1)))*IF((F$35-$C$30)&lt;Drivers!$C$87,1,Drivers!$C$88*Drivers!$C$89^((F$35-$C$30)-Drivers!$C$87))*$E$30</f>
        <v>0</v>
      </c>
      <c r="G60" s="24" t="n">
        <f aca="false">$D$30*$C$15*IF((G$35-$C$30)&lt;0,0,IF((G$35-$C$30)&gt;=7,1,INDEX(Drivers!$D$86:$J$86,(G$35-$C$30)+1)))*IF((G$35-$C$30)&lt;Drivers!$C$87,1,Drivers!$C$88*Drivers!$C$89^((G$35-$C$30)-Drivers!$C$87))*$E$30</f>
        <v>0</v>
      </c>
      <c r="H60" s="24" t="n">
        <f aca="false">$D$30*$C$15*IF((H$35-$C$30)&lt;0,0,IF((H$35-$C$30)&gt;=7,1,INDEX(Drivers!$D$86:$J$86,(H$35-$C$30)+1)))*IF((H$35-$C$30)&lt;Drivers!$C$87,1,Drivers!$C$88*Drivers!$C$89^((H$35-$C$30)-Drivers!$C$87))*$E$30</f>
        <v>0</v>
      </c>
      <c r="I60" s="24" t="n">
        <f aca="false">$D$30*$C$15*IF((I$35-$C$30)&lt;0,0,IF((I$35-$C$30)&gt;=7,1,INDEX(Drivers!$D$86:$J$86,(I$35-$C$30)+1)))*IF((I$35-$C$30)&lt;Drivers!$C$87,1,Drivers!$C$88*Drivers!$C$89^((I$35-$C$30)-Drivers!$C$87))*$E$30</f>
        <v>0</v>
      </c>
      <c r="J60" s="24" t="n">
        <f aca="false">$D$30*$C$15*IF((J$35-$C$30)&lt;0,0,IF((J$35-$C$30)&gt;=7,1,INDEX(Drivers!$D$86:$J$86,(J$35-$C$30)+1)))*IF((J$35-$C$30)&lt;Drivers!$C$87,1,Drivers!$C$88*Drivers!$C$89^((J$35-$C$30)-Drivers!$C$87))*$E$30</f>
        <v>0.012</v>
      </c>
      <c r="K60" s="24" t="n">
        <f aca="false">$D$30*$C$15*IF((K$35-$C$30)&lt;0,0,IF((K$35-$C$30)&gt;=7,1,INDEX(Drivers!$D$86:$J$86,(K$35-$C$30)+1)))*IF((K$35-$C$30)&lt;Drivers!$C$87,1,Drivers!$C$88*Drivers!$C$89^((K$35-$C$30)-Drivers!$C$87))*$E$30</f>
        <v>0.0375</v>
      </c>
      <c r="L60" s="24" t="n">
        <f aca="false">$D$30*$C$15*IF((L$35-$C$30)&lt;0,0,IF((L$35-$C$30)&gt;=7,1,INDEX(Drivers!$D$86:$J$86,(L$35-$C$30)+1)))*IF((L$35-$C$30)&lt;Drivers!$C$87,1,Drivers!$C$88*Drivers!$C$89^((L$35-$C$30)-Drivers!$C$87))*$E$30</f>
        <v>0.0675</v>
      </c>
      <c r="M60" s="24" t="n">
        <f aca="false">$D$30*$C$15*IF((M$35-$C$30)&lt;0,0,IF((M$35-$C$30)&gt;=7,1,INDEX(Drivers!$D$86:$J$86,(M$35-$C$30)+1)))*IF((M$35-$C$30)&lt;Drivers!$C$87,1,Drivers!$C$88*Drivers!$C$89^((M$35-$C$30)-Drivers!$C$87))*$E$30</f>
        <v>0.0975</v>
      </c>
      <c r="N60" s="24" t="n">
        <f aca="false">$D$30*$C$15*IF((N$35-$C$30)&lt;0,0,IF((N$35-$C$30)&gt;=7,1,INDEX(Drivers!$D$86:$J$86,(N$35-$C$30)+1)))*IF((N$35-$C$30)&lt;Drivers!$C$87,1,Drivers!$C$88*Drivers!$C$89^((N$35-$C$30)-Drivers!$C$87))*$E$30</f>
        <v>0.123</v>
      </c>
      <c r="O60" s="24" t="n">
        <f aca="false">$D$30*$C$15*IF((O$35-$C$30)&lt;0,0,IF((O$35-$C$30)&gt;=7,1,INDEX(Drivers!$D$86:$J$86,(O$35-$C$30)+1)))*IF((O$35-$C$30)&lt;Drivers!$C$87,1,Drivers!$C$88*Drivers!$C$89^((O$35-$C$30)-Drivers!$C$87))*$E$30</f>
        <v>0.1395</v>
      </c>
      <c r="P60" s="24" t="n">
        <f aca="false">$D$30*$C$15*IF((P$35-$C$30)&lt;0,0,IF((P$35-$C$30)&gt;=7,1,INDEX(Drivers!$D$86:$J$86,(P$35-$C$30)+1)))*IF((P$35-$C$30)&lt;Drivers!$C$87,1,Drivers!$C$88*Drivers!$C$89^((P$35-$C$30)-Drivers!$C$87))*$E$30</f>
        <v>0.15</v>
      </c>
      <c r="Q60" s="24" t="n">
        <f aca="false">$D$30*$C$15*IF((Q$35-$C$30)&lt;0,0,IF((Q$35-$C$30)&gt;=7,1,INDEX(Drivers!$D$86:$J$86,(Q$35-$C$30)+1)))*IF((Q$35-$C$30)&lt;Drivers!$C$87,1,Drivers!$C$88*Drivers!$C$89^((Q$35-$C$30)-Drivers!$C$87))*$E$30</f>
        <v>0.15</v>
      </c>
      <c r="R60" s="24" t="n">
        <f aca="false">$D$30*$C$15*IF((R$35-$C$30)&lt;0,0,IF((R$35-$C$30)&gt;=7,1,INDEX(Drivers!$D$86:$J$86,(R$35-$C$30)+1)))*IF((R$35-$C$30)&lt;Drivers!$C$87,1,Drivers!$C$88*Drivers!$C$89^((R$35-$C$30)-Drivers!$C$87))*$E$30</f>
        <v>0.15</v>
      </c>
      <c r="S60" s="24" t="n">
        <f aca="false">$D$30*$C$15*IF((S$35-$C$30)&lt;0,0,IF((S$35-$C$30)&gt;=7,1,INDEX(Drivers!$D$86:$J$86,(S$35-$C$30)+1)))*IF((S$35-$C$30)&lt;Drivers!$C$87,1,Drivers!$C$88*Drivers!$C$89^((S$35-$C$30)-Drivers!$C$87))*$E$30</f>
        <v>0.15</v>
      </c>
      <c r="T60" s="24" t="n">
        <f aca="false">$D$30*$C$15*IF((T$35-$C$30)&lt;0,0,IF((T$35-$C$30)&gt;=7,1,INDEX(Drivers!$D$86:$J$86,(T$35-$C$30)+1)))*IF((T$35-$C$30)&lt;Drivers!$C$87,1,Drivers!$C$88*Drivers!$C$89^((T$35-$C$30)-Drivers!$C$87))*$E$30</f>
        <v>0.15</v>
      </c>
      <c r="U60" s="24" t="n">
        <f aca="false">$D$30*$C$15*IF((U$35-$C$30)&lt;0,0,IF((U$35-$C$30)&gt;=7,1,INDEX(Drivers!$D$86:$J$86,(U$35-$C$30)+1)))*IF((U$35-$C$30)&lt;Drivers!$C$87,1,Drivers!$C$88*Drivers!$C$89^((U$35-$C$30)-Drivers!$C$87))*$E$30</f>
        <v>0.15</v>
      </c>
    </row>
    <row r="61" customFormat="false" ht="15" hidden="false" customHeight="false" outlineLevel="0" collapsed="false">
      <c r="A61" s="9" t="s">
        <v>350</v>
      </c>
      <c r="B61" s="35" t="s">
        <v>326</v>
      </c>
      <c r="C61" s="24" t="n">
        <f aca="false">$D$31*$C$15*IF((C$35-$C$31)&lt;0,0,IF((C$35-$C$31)&gt;=7,1,INDEX(Drivers!$D$86:$J$86,(C$35-$C$31)+1)))*IF((C$35-$C$31)&lt;Drivers!$C$87,1,Drivers!$C$88*Drivers!$C$89^((C$35-$C$31)-Drivers!$C$87))*$E$31</f>
        <v>0</v>
      </c>
      <c r="D61" s="24" t="n">
        <f aca="false">$D$31*$C$15*IF((D$35-$C$31)&lt;0,0,IF((D$35-$C$31)&gt;=7,1,INDEX(Drivers!$D$86:$J$86,(D$35-$C$31)+1)))*IF((D$35-$C$31)&lt;Drivers!$C$87,1,Drivers!$C$88*Drivers!$C$89^((D$35-$C$31)-Drivers!$C$87))*$E$31</f>
        <v>0</v>
      </c>
      <c r="E61" s="24" t="n">
        <f aca="false">$D$31*$C$15*IF((E$35-$C$31)&lt;0,0,IF((E$35-$C$31)&gt;=7,1,INDEX(Drivers!$D$86:$J$86,(E$35-$C$31)+1)))*IF((E$35-$C$31)&lt;Drivers!$C$87,1,Drivers!$C$88*Drivers!$C$89^((E$35-$C$31)-Drivers!$C$87))*$E$31</f>
        <v>0</v>
      </c>
      <c r="F61" s="24" t="n">
        <f aca="false">$D$31*$C$15*IF((F$35-$C$31)&lt;0,0,IF((F$35-$C$31)&gt;=7,1,INDEX(Drivers!$D$86:$J$86,(F$35-$C$31)+1)))*IF((F$35-$C$31)&lt;Drivers!$C$87,1,Drivers!$C$88*Drivers!$C$89^((F$35-$C$31)-Drivers!$C$87))*$E$31</f>
        <v>0</v>
      </c>
      <c r="G61" s="24" t="n">
        <f aca="false">$D$31*$C$15*IF((G$35-$C$31)&lt;0,0,IF((G$35-$C$31)&gt;=7,1,INDEX(Drivers!$D$86:$J$86,(G$35-$C$31)+1)))*IF((G$35-$C$31)&lt;Drivers!$C$87,1,Drivers!$C$88*Drivers!$C$89^((G$35-$C$31)-Drivers!$C$87))*$E$31</f>
        <v>0.0128</v>
      </c>
      <c r="H61" s="24" t="n">
        <f aca="false">$D$31*$C$15*IF((H$35-$C$31)&lt;0,0,IF((H$35-$C$31)&gt;=7,1,INDEX(Drivers!$D$86:$J$86,(H$35-$C$31)+1)))*IF((H$35-$C$31)&lt;Drivers!$C$87,1,Drivers!$C$88*Drivers!$C$89^((H$35-$C$31)-Drivers!$C$87))*$E$31</f>
        <v>0.04</v>
      </c>
      <c r="I61" s="24" t="n">
        <f aca="false">$D$31*$C$15*IF((I$35-$C$31)&lt;0,0,IF((I$35-$C$31)&gt;=7,1,INDEX(Drivers!$D$86:$J$86,(I$35-$C$31)+1)))*IF((I$35-$C$31)&lt;Drivers!$C$87,1,Drivers!$C$88*Drivers!$C$89^((I$35-$C$31)-Drivers!$C$87))*$E$31</f>
        <v>0.072</v>
      </c>
      <c r="J61" s="24" t="n">
        <f aca="false">$D$31*$C$15*IF((J$35-$C$31)&lt;0,0,IF((J$35-$C$31)&gt;=7,1,INDEX(Drivers!$D$86:$J$86,(J$35-$C$31)+1)))*IF((J$35-$C$31)&lt;Drivers!$C$87,1,Drivers!$C$88*Drivers!$C$89^((J$35-$C$31)-Drivers!$C$87))*$E$31</f>
        <v>0.104</v>
      </c>
      <c r="K61" s="24" t="n">
        <f aca="false">$D$31*$C$15*IF((K$35-$C$31)&lt;0,0,IF((K$35-$C$31)&gt;=7,1,INDEX(Drivers!$D$86:$J$86,(K$35-$C$31)+1)))*IF((K$35-$C$31)&lt;Drivers!$C$87,1,Drivers!$C$88*Drivers!$C$89^((K$35-$C$31)-Drivers!$C$87))*$E$31</f>
        <v>0.1312</v>
      </c>
      <c r="L61" s="24" t="n">
        <f aca="false">$D$31*$C$15*IF((L$35-$C$31)&lt;0,0,IF((L$35-$C$31)&gt;=7,1,INDEX(Drivers!$D$86:$J$86,(L$35-$C$31)+1)))*IF((L$35-$C$31)&lt;Drivers!$C$87,1,Drivers!$C$88*Drivers!$C$89^((L$35-$C$31)-Drivers!$C$87))*$E$31</f>
        <v>0.1488</v>
      </c>
      <c r="M61" s="24" t="n">
        <f aca="false">$D$31*$C$15*IF((M$35-$C$31)&lt;0,0,IF((M$35-$C$31)&gt;=7,1,INDEX(Drivers!$D$86:$J$86,(M$35-$C$31)+1)))*IF((M$35-$C$31)&lt;Drivers!$C$87,1,Drivers!$C$88*Drivers!$C$89^((M$35-$C$31)-Drivers!$C$87))*$E$31</f>
        <v>0.16</v>
      </c>
      <c r="N61" s="24" t="n">
        <f aca="false">$D$31*$C$15*IF((N$35-$C$31)&lt;0,0,IF((N$35-$C$31)&gt;=7,1,INDEX(Drivers!$D$86:$J$86,(N$35-$C$31)+1)))*IF((N$35-$C$31)&lt;Drivers!$C$87,1,Drivers!$C$88*Drivers!$C$89^((N$35-$C$31)-Drivers!$C$87))*$E$31</f>
        <v>0.16</v>
      </c>
      <c r="O61" s="24" t="n">
        <f aca="false">$D$31*$C$15*IF((O$35-$C$31)&lt;0,0,IF((O$35-$C$31)&gt;=7,1,INDEX(Drivers!$D$86:$J$86,(O$35-$C$31)+1)))*IF((O$35-$C$31)&lt;Drivers!$C$87,1,Drivers!$C$88*Drivers!$C$89^((O$35-$C$31)-Drivers!$C$87))*$E$31</f>
        <v>0.16</v>
      </c>
      <c r="P61" s="24" t="n">
        <f aca="false">$D$31*$C$15*IF((P$35-$C$31)&lt;0,0,IF((P$35-$C$31)&gt;=7,1,INDEX(Drivers!$D$86:$J$86,(P$35-$C$31)+1)))*IF((P$35-$C$31)&lt;Drivers!$C$87,1,Drivers!$C$88*Drivers!$C$89^((P$35-$C$31)-Drivers!$C$87))*$E$31</f>
        <v>0.16</v>
      </c>
      <c r="Q61" s="24" t="n">
        <f aca="false">$D$31*$C$15*IF((Q$35-$C$31)&lt;0,0,IF((Q$35-$C$31)&gt;=7,1,INDEX(Drivers!$D$86:$J$86,(Q$35-$C$31)+1)))*IF((Q$35-$C$31)&lt;Drivers!$C$87,1,Drivers!$C$88*Drivers!$C$89^((Q$35-$C$31)-Drivers!$C$87))*$E$31</f>
        <v>0.16</v>
      </c>
      <c r="R61" s="24" t="n">
        <f aca="false">$D$31*$C$15*IF((R$35-$C$31)&lt;0,0,IF((R$35-$C$31)&gt;=7,1,INDEX(Drivers!$D$86:$J$86,(R$35-$C$31)+1)))*IF((R$35-$C$31)&lt;Drivers!$C$87,1,Drivers!$C$88*Drivers!$C$89^((R$35-$C$31)-Drivers!$C$87))*$E$31</f>
        <v>0.16</v>
      </c>
      <c r="S61" s="24" t="n">
        <f aca="false">$D$31*$C$15*IF((S$35-$C$31)&lt;0,0,IF((S$35-$C$31)&gt;=7,1,INDEX(Drivers!$D$86:$J$86,(S$35-$C$31)+1)))*IF((S$35-$C$31)&lt;Drivers!$C$87,1,Drivers!$C$88*Drivers!$C$89^((S$35-$C$31)-Drivers!$C$87))*$E$31</f>
        <v>0.128</v>
      </c>
      <c r="T61" s="24" t="n">
        <f aca="false">$D$31*$C$15*IF((T$35-$C$31)&lt;0,0,IF((T$35-$C$31)&gt;=7,1,INDEX(Drivers!$D$86:$J$86,(T$35-$C$31)+1)))*IF((T$35-$C$31)&lt;Drivers!$C$87,1,Drivers!$C$88*Drivers!$C$89^((T$35-$C$31)-Drivers!$C$87))*$E$31</f>
        <v>0.12416</v>
      </c>
      <c r="U61" s="24" t="n">
        <f aca="false">$D$31*$C$15*IF((U$35-$C$31)&lt;0,0,IF((U$35-$C$31)&gt;=7,1,INDEX(Drivers!$D$86:$J$86,(U$35-$C$31)+1)))*IF((U$35-$C$31)&lt;Drivers!$C$87,1,Drivers!$C$88*Drivers!$C$89^((U$35-$C$31)-Drivers!$C$87))*$E$31</f>
        <v>0.1204352</v>
      </c>
    </row>
    <row r="62" customFormat="false" ht="15" hidden="false" customHeight="false" outlineLevel="0" collapsed="false">
      <c r="A62" s="9" t="s">
        <v>351</v>
      </c>
      <c r="B62" s="35" t="s">
        <v>326</v>
      </c>
      <c r="C62" s="24" t="n">
        <f aca="false">$D$32*$C$15*IF((C$35-$C$32)&lt;0,0,IF((C$35-$C$32)&gt;=7,1,INDEX(Drivers!$D$86:$J$86,(C$35-$C$32)+1)))*IF((C$35-$C$32)&lt;Drivers!$C$87,1,Drivers!$C$88*Drivers!$C$89^((C$35-$C$32)-Drivers!$C$87))*$E$32</f>
        <v>0</v>
      </c>
      <c r="D62" s="24" t="n">
        <f aca="false">$D$32*$C$15*IF((D$35-$C$32)&lt;0,0,IF((D$35-$C$32)&gt;=7,1,INDEX(Drivers!$D$86:$J$86,(D$35-$C$32)+1)))*IF((D$35-$C$32)&lt;Drivers!$C$87,1,Drivers!$C$88*Drivers!$C$89^((D$35-$C$32)-Drivers!$C$87))*$E$32</f>
        <v>0</v>
      </c>
      <c r="E62" s="24" t="n">
        <f aca="false">$D$32*$C$15*IF((E$35-$C$32)&lt;0,0,IF((E$35-$C$32)&gt;=7,1,INDEX(Drivers!$D$86:$J$86,(E$35-$C$32)+1)))*IF((E$35-$C$32)&lt;Drivers!$C$87,1,Drivers!$C$88*Drivers!$C$89^((E$35-$C$32)-Drivers!$C$87))*$E$32</f>
        <v>0</v>
      </c>
      <c r="F62" s="24" t="n">
        <f aca="false">$D$32*$C$15*IF((F$35-$C$32)&lt;0,0,IF((F$35-$C$32)&gt;=7,1,INDEX(Drivers!$D$86:$J$86,(F$35-$C$32)+1)))*IF((F$35-$C$32)&lt;Drivers!$C$87,1,Drivers!$C$88*Drivers!$C$89^((F$35-$C$32)-Drivers!$C$87))*$E$32</f>
        <v>0</v>
      </c>
      <c r="G62" s="24" t="n">
        <f aca="false">$D$32*$C$15*IF((G$35-$C$32)&lt;0,0,IF((G$35-$C$32)&gt;=7,1,INDEX(Drivers!$D$86:$J$86,(G$35-$C$32)+1)))*IF((G$35-$C$32)&lt;Drivers!$C$87,1,Drivers!$C$88*Drivers!$C$89^((G$35-$C$32)-Drivers!$C$87))*$E$32</f>
        <v>0</v>
      </c>
      <c r="H62" s="24" t="n">
        <f aca="false">$D$32*$C$15*IF((H$35-$C$32)&lt;0,0,IF((H$35-$C$32)&gt;=7,1,INDEX(Drivers!$D$86:$J$86,(H$35-$C$32)+1)))*IF((H$35-$C$32)&lt;Drivers!$C$87,1,Drivers!$C$88*Drivers!$C$89^((H$35-$C$32)-Drivers!$C$87))*$E$32</f>
        <v>0.0144</v>
      </c>
      <c r="I62" s="24" t="n">
        <f aca="false">$D$32*$C$15*IF((I$35-$C$32)&lt;0,0,IF((I$35-$C$32)&gt;=7,1,INDEX(Drivers!$D$86:$J$86,(I$35-$C$32)+1)))*IF((I$35-$C$32)&lt;Drivers!$C$87,1,Drivers!$C$88*Drivers!$C$89^((I$35-$C$32)-Drivers!$C$87))*$E$32</f>
        <v>0.045</v>
      </c>
      <c r="J62" s="24" t="n">
        <f aca="false">$D$32*$C$15*IF((J$35-$C$32)&lt;0,0,IF((J$35-$C$32)&gt;=7,1,INDEX(Drivers!$D$86:$J$86,(J$35-$C$32)+1)))*IF((J$35-$C$32)&lt;Drivers!$C$87,1,Drivers!$C$88*Drivers!$C$89^((J$35-$C$32)-Drivers!$C$87))*$E$32</f>
        <v>0.081</v>
      </c>
      <c r="K62" s="24" t="n">
        <f aca="false">$D$32*$C$15*IF((K$35-$C$32)&lt;0,0,IF((K$35-$C$32)&gt;=7,1,INDEX(Drivers!$D$86:$J$86,(K$35-$C$32)+1)))*IF((K$35-$C$32)&lt;Drivers!$C$87,1,Drivers!$C$88*Drivers!$C$89^((K$35-$C$32)-Drivers!$C$87))*$E$32</f>
        <v>0.117</v>
      </c>
      <c r="L62" s="24" t="n">
        <f aca="false">$D$32*$C$15*IF((L$35-$C$32)&lt;0,0,IF((L$35-$C$32)&gt;=7,1,INDEX(Drivers!$D$86:$J$86,(L$35-$C$32)+1)))*IF((L$35-$C$32)&lt;Drivers!$C$87,1,Drivers!$C$88*Drivers!$C$89^((L$35-$C$32)-Drivers!$C$87))*$E$32</f>
        <v>0.1476</v>
      </c>
      <c r="M62" s="24" t="n">
        <f aca="false">$D$32*$C$15*IF((M$35-$C$32)&lt;0,0,IF((M$35-$C$32)&gt;=7,1,INDEX(Drivers!$D$86:$J$86,(M$35-$C$32)+1)))*IF((M$35-$C$32)&lt;Drivers!$C$87,1,Drivers!$C$88*Drivers!$C$89^((M$35-$C$32)-Drivers!$C$87))*$E$32</f>
        <v>0.1674</v>
      </c>
      <c r="N62" s="24" t="n">
        <f aca="false">$D$32*$C$15*IF((N$35-$C$32)&lt;0,0,IF((N$35-$C$32)&gt;=7,1,INDEX(Drivers!$D$86:$J$86,(N$35-$C$32)+1)))*IF((N$35-$C$32)&lt;Drivers!$C$87,1,Drivers!$C$88*Drivers!$C$89^((N$35-$C$32)-Drivers!$C$87))*$E$32</f>
        <v>0.18</v>
      </c>
      <c r="O62" s="24" t="n">
        <f aca="false">$D$32*$C$15*IF((O$35-$C$32)&lt;0,0,IF((O$35-$C$32)&gt;=7,1,INDEX(Drivers!$D$86:$J$86,(O$35-$C$32)+1)))*IF((O$35-$C$32)&lt;Drivers!$C$87,1,Drivers!$C$88*Drivers!$C$89^((O$35-$C$32)-Drivers!$C$87))*$E$32</f>
        <v>0.18</v>
      </c>
      <c r="P62" s="24" t="n">
        <f aca="false">$D$32*$C$15*IF((P$35-$C$32)&lt;0,0,IF((P$35-$C$32)&gt;=7,1,INDEX(Drivers!$D$86:$J$86,(P$35-$C$32)+1)))*IF((P$35-$C$32)&lt;Drivers!$C$87,1,Drivers!$C$88*Drivers!$C$89^((P$35-$C$32)-Drivers!$C$87))*$E$32</f>
        <v>0.18</v>
      </c>
      <c r="Q62" s="24" t="n">
        <f aca="false">$D$32*$C$15*IF((Q$35-$C$32)&lt;0,0,IF((Q$35-$C$32)&gt;=7,1,INDEX(Drivers!$D$86:$J$86,(Q$35-$C$32)+1)))*IF((Q$35-$C$32)&lt;Drivers!$C$87,1,Drivers!$C$88*Drivers!$C$89^((Q$35-$C$32)-Drivers!$C$87))*$E$32</f>
        <v>0.18</v>
      </c>
      <c r="R62" s="24" t="n">
        <f aca="false">$D$32*$C$15*IF((R$35-$C$32)&lt;0,0,IF((R$35-$C$32)&gt;=7,1,INDEX(Drivers!$D$86:$J$86,(R$35-$C$32)+1)))*IF((R$35-$C$32)&lt;Drivers!$C$87,1,Drivers!$C$88*Drivers!$C$89^((R$35-$C$32)-Drivers!$C$87))*$E$32</f>
        <v>0.18</v>
      </c>
      <c r="S62" s="24" t="n">
        <f aca="false">$D$32*$C$15*IF((S$35-$C$32)&lt;0,0,IF((S$35-$C$32)&gt;=7,1,INDEX(Drivers!$D$86:$J$86,(S$35-$C$32)+1)))*IF((S$35-$C$32)&lt;Drivers!$C$87,1,Drivers!$C$88*Drivers!$C$89^((S$35-$C$32)-Drivers!$C$87))*$E$32</f>
        <v>0.18</v>
      </c>
      <c r="T62" s="24" t="n">
        <f aca="false">$D$32*$C$15*IF((T$35-$C$32)&lt;0,0,IF((T$35-$C$32)&gt;=7,1,INDEX(Drivers!$D$86:$J$86,(T$35-$C$32)+1)))*IF((T$35-$C$32)&lt;Drivers!$C$87,1,Drivers!$C$88*Drivers!$C$89^((T$35-$C$32)-Drivers!$C$87))*$E$32</f>
        <v>0.144</v>
      </c>
      <c r="U62" s="24" t="n">
        <f aca="false">$D$32*$C$15*IF((U$35-$C$32)&lt;0,0,IF((U$35-$C$32)&gt;=7,1,INDEX(Drivers!$D$86:$J$86,(U$35-$C$32)+1)))*IF((U$35-$C$32)&lt;Drivers!$C$87,1,Drivers!$C$88*Drivers!$C$89^((U$35-$C$32)-Drivers!$C$87))*$E$32</f>
        <v>0.13968</v>
      </c>
    </row>
    <row r="63" customFormat="false" ht="15" hidden="false" customHeight="false" outlineLevel="0" collapsed="false">
      <c r="A63" s="9" t="s">
        <v>352</v>
      </c>
      <c r="B63" s="35" t="s">
        <v>326</v>
      </c>
      <c r="C63" s="24" t="n">
        <f aca="false">$D$33*$C$15*IF((C$35-$C$33)&lt;0,0,IF((C$35-$C$33)&gt;=7,1,INDEX(Drivers!$D$86:$J$86,(C$35-$C$33)+1)))*IF((C$35-$C$33)&lt;Drivers!$C$87,1,Drivers!$C$88*Drivers!$C$89^((C$35-$C$33)-Drivers!$C$87))*$E$33</f>
        <v>0</v>
      </c>
      <c r="D63" s="24" t="n">
        <f aca="false">$D$33*$C$15*IF((D$35-$C$33)&lt;0,0,IF((D$35-$C$33)&gt;=7,1,INDEX(Drivers!$D$86:$J$86,(D$35-$C$33)+1)))*IF((D$35-$C$33)&lt;Drivers!$C$87,1,Drivers!$C$88*Drivers!$C$89^((D$35-$C$33)-Drivers!$C$87))*$E$33</f>
        <v>0</v>
      </c>
      <c r="E63" s="24" t="n">
        <f aca="false">$D$33*$C$15*IF((E$35-$C$33)&lt;0,0,IF((E$35-$C$33)&gt;=7,1,INDEX(Drivers!$D$86:$J$86,(E$35-$C$33)+1)))*IF((E$35-$C$33)&lt;Drivers!$C$87,1,Drivers!$C$88*Drivers!$C$89^((E$35-$C$33)-Drivers!$C$87))*$E$33</f>
        <v>0</v>
      </c>
      <c r="F63" s="24" t="n">
        <f aca="false">$D$33*$C$15*IF((F$35-$C$33)&lt;0,0,IF((F$35-$C$33)&gt;=7,1,INDEX(Drivers!$D$86:$J$86,(F$35-$C$33)+1)))*IF((F$35-$C$33)&lt;Drivers!$C$87,1,Drivers!$C$88*Drivers!$C$89^((F$35-$C$33)-Drivers!$C$87))*$E$33</f>
        <v>0</v>
      </c>
      <c r="G63" s="24" t="n">
        <f aca="false">$D$33*$C$15*IF((G$35-$C$33)&lt;0,0,IF((G$35-$C$33)&gt;=7,1,INDEX(Drivers!$D$86:$J$86,(G$35-$C$33)+1)))*IF((G$35-$C$33)&lt;Drivers!$C$87,1,Drivers!$C$88*Drivers!$C$89^((G$35-$C$33)-Drivers!$C$87))*$E$33</f>
        <v>0</v>
      </c>
      <c r="H63" s="24" t="n">
        <f aca="false">$D$33*$C$15*IF((H$35-$C$33)&lt;0,0,IF((H$35-$C$33)&gt;=7,1,INDEX(Drivers!$D$86:$J$86,(H$35-$C$33)+1)))*IF((H$35-$C$33)&lt;Drivers!$C$87,1,Drivers!$C$88*Drivers!$C$89^((H$35-$C$33)-Drivers!$C$87))*$E$33</f>
        <v>0</v>
      </c>
      <c r="I63" s="24" t="n">
        <f aca="false">$D$33*$C$15*IF((I$35-$C$33)&lt;0,0,IF((I$35-$C$33)&gt;=7,1,INDEX(Drivers!$D$86:$J$86,(I$35-$C$33)+1)))*IF((I$35-$C$33)&lt;Drivers!$C$87,1,Drivers!$C$88*Drivers!$C$89^((I$35-$C$33)-Drivers!$C$87))*$E$33</f>
        <v>0</v>
      </c>
      <c r="J63" s="24" t="n">
        <f aca="false">$D$33*$C$15*IF((J$35-$C$33)&lt;0,0,IF((J$35-$C$33)&gt;=7,1,INDEX(Drivers!$D$86:$J$86,(J$35-$C$33)+1)))*IF((J$35-$C$33)&lt;Drivers!$C$87,1,Drivers!$C$88*Drivers!$C$89^((J$35-$C$33)-Drivers!$C$87))*$E$33</f>
        <v>0</v>
      </c>
      <c r="K63" s="24" t="n">
        <f aca="false">$D$33*$C$15*IF((K$35-$C$33)&lt;0,0,IF((K$35-$C$33)&gt;=7,1,INDEX(Drivers!$D$86:$J$86,(K$35-$C$33)+1)))*IF((K$35-$C$33)&lt;Drivers!$C$87,1,Drivers!$C$88*Drivers!$C$89^((K$35-$C$33)-Drivers!$C$87))*$E$33</f>
        <v>0.048</v>
      </c>
      <c r="L63" s="24" t="n">
        <f aca="false">$D$33*$C$15*IF((L$35-$C$33)&lt;0,0,IF((L$35-$C$33)&gt;=7,1,INDEX(Drivers!$D$86:$J$86,(L$35-$C$33)+1)))*IF((L$35-$C$33)&lt;Drivers!$C$87,1,Drivers!$C$88*Drivers!$C$89^((L$35-$C$33)-Drivers!$C$87))*$E$33</f>
        <v>0.15</v>
      </c>
      <c r="M63" s="24" t="n">
        <f aca="false">$D$33*$C$15*IF((M$35-$C$33)&lt;0,0,IF((M$35-$C$33)&gt;=7,1,INDEX(Drivers!$D$86:$J$86,(M$35-$C$33)+1)))*IF((M$35-$C$33)&lt;Drivers!$C$87,1,Drivers!$C$88*Drivers!$C$89^((M$35-$C$33)-Drivers!$C$87))*$E$33</f>
        <v>0.27</v>
      </c>
      <c r="N63" s="24" t="n">
        <f aca="false">$D$33*$C$15*IF((N$35-$C$33)&lt;0,0,IF((N$35-$C$33)&gt;=7,1,INDEX(Drivers!$D$86:$J$86,(N$35-$C$33)+1)))*IF((N$35-$C$33)&lt;Drivers!$C$87,1,Drivers!$C$88*Drivers!$C$89^((N$35-$C$33)-Drivers!$C$87))*$E$33</f>
        <v>0.39</v>
      </c>
      <c r="O63" s="24" t="n">
        <f aca="false">$D$33*$C$15*IF((O$35-$C$33)&lt;0,0,IF((O$35-$C$33)&gt;=7,1,INDEX(Drivers!$D$86:$J$86,(O$35-$C$33)+1)))*IF((O$35-$C$33)&lt;Drivers!$C$87,1,Drivers!$C$88*Drivers!$C$89^((O$35-$C$33)-Drivers!$C$87))*$E$33</f>
        <v>0.492</v>
      </c>
      <c r="P63" s="24" t="n">
        <f aca="false">$D$33*$C$15*IF((P$35-$C$33)&lt;0,0,IF((P$35-$C$33)&gt;=7,1,INDEX(Drivers!$D$86:$J$86,(P$35-$C$33)+1)))*IF((P$35-$C$33)&lt;Drivers!$C$87,1,Drivers!$C$88*Drivers!$C$89^((P$35-$C$33)-Drivers!$C$87))*$E$33</f>
        <v>0.558</v>
      </c>
      <c r="Q63" s="24" t="n">
        <f aca="false">$D$33*$C$15*IF((Q$35-$C$33)&lt;0,0,IF((Q$35-$C$33)&gt;=7,1,INDEX(Drivers!$D$86:$J$86,(Q$35-$C$33)+1)))*IF((Q$35-$C$33)&lt;Drivers!$C$87,1,Drivers!$C$88*Drivers!$C$89^((Q$35-$C$33)-Drivers!$C$87))*$E$33</f>
        <v>0.6</v>
      </c>
      <c r="R63" s="24" t="n">
        <f aca="false">$D$33*$C$15*IF((R$35-$C$33)&lt;0,0,IF((R$35-$C$33)&gt;=7,1,INDEX(Drivers!$D$86:$J$86,(R$35-$C$33)+1)))*IF((R$35-$C$33)&lt;Drivers!$C$87,1,Drivers!$C$88*Drivers!$C$89^((R$35-$C$33)-Drivers!$C$87))*$E$33</f>
        <v>0.6</v>
      </c>
      <c r="S63" s="24" t="n">
        <f aca="false">$D$33*$C$15*IF((S$35-$C$33)&lt;0,0,IF((S$35-$C$33)&gt;=7,1,INDEX(Drivers!$D$86:$J$86,(S$35-$C$33)+1)))*IF((S$35-$C$33)&lt;Drivers!$C$87,1,Drivers!$C$88*Drivers!$C$89^((S$35-$C$33)-Drivers!$C$87))*$E$33</f>
        <v>0.6</v>
      </c>
      <c r="T63" s="24" t="n">
        <f aca="false">$D$33*$C$15*IF((T$35-$C$33)&lt;0,0,IF((T$35-$C$33)&gt;=7,1,INDEX(Drivers!$D$86:$J$86,(T$35-$C$33)+1)))*IF((T$35-$C$33)&lt;Drivers!$C$87,1,Drivers!$C$88*Drivers!$C$89^((T$35-$C$33)-Drivers!$C$87))*$E$33</f>
        <v>0.6</v>
      </c>
      <c r="U63" s="24" t="n">
        <f aca="false">$D$33*$C$15*IF((U$35-$C$33)&lt;0,0,IF((U$35-$C$33)&gt;=7,1,INDEX(Drivers!$D$86:$J$86,(U$35-$C$33)+1)))*IF((U$35-$C$33)&lt;Drivers!$C$87,1,Drivers!$C$88*Drivers!$C$89^((U$35-$C$33)-Drivers!$C$87))*$E$33</f>
        <v>0.6</v>
      </c>
    </row>
    <row r="64" customFormat="false" ht="15" hidden="false" customHeight="false" outlineLevel="0" collapsed="false">
      <c r="A64" s="3" t="s">
        <v>353</v>
      </c>
      <c r="B64" s="35" t="s">
        <v>326</v>
      </c>
      <c r="C64" s="29" t="n">
        <f aca="false">SUM(C54:C63)</f>
        <v>0.19712</v>
      </c>
      <c r="D64" s="29" t="n">
        <f aca="false">SUM(D54:D63)</f>
        <v>0.616</v>
      </c>
      <c r="E64" s="29" t="n">
        <f aca="false">SUM(E54:E63)</f>
        <v>1.1088</v>
      </c>
      <c r="F64" s="29" t="n">
        <f aca="false">SUM(F54:F63)</f>
        <v>1.6016</v>
      </c>
      <c r="G64" s="29" t="n">
        <f aca="false">SUM(G54:G63)</f>
        <v>2.20128</v>
      </c>
      <c r="H64" s="29" t="n">
        <f aca="false">SUM(H54:H63)</f>
        <v>2.87092</v>
      </c>
      <c r="I64" s="29" t="n">
        <f aca="false">SUM(I54:I63)</f>
        <v>3.542</v>
      </c>
      <c r="J64" s="29" t="n">
        <f aca="false">SUM(J54:J63)</f>
        <v>4.124</v>
      </c>
      <c r="K64" s="29" t="n">
        <f aca="false">SUM(K54:K63)</f>
        <v>4.8297</v>
      </c>
      <c r="L64" s="29" t="n">
        <f aca="false">SUM(L54:L63)</f>
        <v>5.54965</v>
      </c>
      <c r="M64" s="29" t="n">
        <f aca="false">SUM(M54:M63)</f>
        <v>6.20665</v>
      </c>
      <c r="N64" s="29" t="n">
        <f aca="false">SUM(N54:N63)</f>
        <v>6.66375</v>
      </c>
      <c r="O64" s="29" t="n">
        <f aca="false">SUM(O54:O63)</f>
        <v>6.5182</v>
      </c>
      <c r="P64" s="29" t="n">
        <f aca="false">SUM(P54:P63)</f>
        <v>6.673814</v>
      </c>
      <c r="Q64" s="29" t="n">
        <f aca="false">SUM(Q54:Q63)</f>
        <v>6.71970208</v>
      </c>
      <c r="R64" s="29" t="n">
        <f aca="false">SUM(R54:R63)</f>
        <v>6.6640610176</v>
      </c>
      <c r="S64" s="29" t="n">
        <f aca="false">SUM(S54:S63)</f>
        <v>6.158089187072</v>
      </c>
      <c r="T64" s="29" t="n">
        <f aca="false">SUM(T54:T63)</f>
        <v>6.01549651145984</v>
      </c>
      <c r="U64" s="29" t="n">
        <f aca="false">SUM(U54:U63)</f>
        <v>5.86778161611604</v>
      </c>
    </row>
    <row r="65" customFormat="false" ht="15" hidden="false" customHeight="false" outlineLevel="0" collapsed="false">
      <c r="A65" s="9" t="s">
        <v>354</v>
      </c>
      <c r="B65" s="35" t="s">
        <v>334</v>
      </c>
      <c r="C65" s="11" t="n">
        <f aca="false">IF((C$35-$C$24)&lt;0,0,Drivers!$C$90+($C$16-Drivers!$C$90)*MIN((C$35-$C$24)/Drivers!$C$91,1))</f>
        <v>0.2</v>
      </c>
      <c r="D65" s="11" t="n">
        <f aca="false">IF((D$35-$C$24)&lt;0,0,Drivers!$C$90+($C$16-Drivers!$C$90)*MIN((D$35-$C$24)/Drivers!$C$91,1))</f>
        <v>0.27</v>
      </c>
      <c r="E65" s="11" t="n">
        <f aca="false">IF((E$35-$C$24)&lt;0,0,Drivers!$C$90+($C$16-Drivers!$C$90)*MIN((E$35-$C$24)/Drivers!$C$91,1))</f>
        <v>0.34</v>
      </c>
      <c r="F65" s="11" t="n">
        <f aca="false">IF((F$35-$C$24)&lt;0,0,Drivers!$C$90+($C$16-Drivers!$C$90)*MIN((F$35-$C$24)/Drivers!$C$91,1))</f>
        <v>0.41</v>
      </c>
      <c r="G65" s="11" t="n">
        <f aca="false">IF((G$35-$C$24)&lt;0,0,Drivers!$C$90+($C$16-Drivers!$C$90)*MIN((G$35-$C$24)/Drivers!$C$91,1))</f>
        <v>0.48</v>
      </c>
      <c r="H65" s="11" t="n">
        <f aca="false">IF((H$35-$C$24)&lt;0,0,Drivers!$C$90+($C$16-Drivers!$C$90)*MIN((H$35-$C$24)/Drivers!$C$91,1))</f>
        <v>0.55</v>
      </c>
      <c r="I65" s="11" t="n">
        <f aca="false">IF((I$35-$C$24)&lt;0,0,Drivers!$C$90+($C$16-Drivers!$C$90)*MIN((I$35-$C$24)/Drivers!$C$91,1))</f>
        <v>0.55</v>
      </c>
      <c r="J65" s="11" t="n">
        <f aca="false">IF((J$35-$C$24)&lt;0,0,Drivers!$C$90+($C$16-Drivers!$C$90)*MIN((J$35-$C$24)/Drivers!$C$91,1))</f>
        <v>0.55</v>
      </c>
      <c r="K65" s="11" t="n">
        <f aca="false">IF((K$35-$C$24)&lt;0,0,Drivers!$C$90+($C$16-Drivers!$C$90)*MIN((K$35-$C$24)/Drivers!$C$91,1))</f>
        <v>0.55</v>
      </c>
      <c r="L65" s="11" t="n">
        <f aca="false">IF((L$35-$C$24)&lt;0,0,Drivers!$C$90+($C$16-Drivers!$C$90)*MIN((L$35-$C$24)/Drivers!$C$91,1))</f>
        <v>0.55</v>
      </c>
      <c r="M65" s="11" t="n">
        <f aca="false">IF((M$35-$C$24)&lt;0,0,Drivers!$C$90+($C$16-Drivers!$C$90)*MIN((M$35-$C$24)/Drivers!$C$91,1))</f>
        <v>0.55</v>
      </c>
      <c r="N65" s="11" t="n">
        <f aca="false">IF((N$35-$C$24)&lt;0,0,Drivers!$C$90+($C$16-Drivers!$C$90)*MIN((N$35-$C$24)/Drivers!$C$91,1))</f>
        <v>0.55</v>
      </c>
      <c r="O65" s="11" t="n">
        <f aca="false">IF((O$35-$C$24)&lt;0,0,Drivers!$C$90+($C$16-Drivers!$C$90)*MIN((O$35-$C$24)/Drivers!$C$91,1))</f>
        <v>0.55</v>
      </c>
      <c r="P65" s="11" t="n">
        <f aca="false">IF((P$35-$C$24)&lt;0,0,Drivers!$C$90+($C$16-Drivers!$C$90)*MIN((P$35-$C$24)/Drivers!$C$91,1))</f>
        <v>0.55</v>
      </c>
      <c r="Q65" s="11" t="n">
        <f aca="false">IF((Q$35-$C$24)&lt;0,0,Drivers!$C$90+($C$16-Drivers!$C$90)*MIN((Q$35-$C$24)/Drivers!$C$91,1))</f>
        <v>0.55</v>
      </c>
      <c r="R65" s="11" t="n">
        <f aca="false">IF((R$35-$C$24)&lt;0,0,Drivers!$C$90+($C$16-Drivers!$C$90)*MIN((R$35-$C$24)/Drivers!$C$91,1))</f>
        <v>0.55</v>
      </c>
      <c r="S65" s="11" t="n">
        <f aca="false">IF((S$35-$C$24)&lt;0,0,Drivers!$C$90+($C$16-Drivers!$C$90)*MIN((S$35-$C$24)/Drivers!$C$91,1))</f>
        <v>0.55</v>
      </c>
      <c r="T65" s="11" t="n">
        <f aca="false">IF((T$35-$C$24)&lt;0,0,Drivers!$C$90+($C$16-Drivers!$C$90)*MIN((T$35-$C$24)/Drivers!$C$91,1))</f>
        <v>0.55</v>
      </c>
      <c r="U65" s="11" t="n">
        <f aca="false">IF((U$35-$C$24)&lt;0,0,Drivers!$C$90+($C$16-Drivers!$C$90)*MIN((U$35-$C$24)/Drivers!$C$91,1))</f>
        <v>0.55</v>
      </c>
    </row>
    <row r="66" customFormat="false" ht="15" hidden="false" customHeight="false" outlineLevel="0" collapsed="false">
      <c r="A66" s="9" t="s">
        <v>355</v>
      </c>
      <c r="B66" s="35" t="s">
        <v>326</v>
      </c>
      <c r="C66" s="24" t="n">
        <f aca="false">Drivers!$C$85*C64*C65</f>
        <v>0.019712</v>
      </c>
      <c r="D66" s="24" t="n">
        <f aca="false">Drivers!$C$85*D64*D65</f>
        <v>0.08316</v>
      </c>
      <c r="E66" s="24" t="n">
        <f aca="false">Drivers!$C$85*E64*E65</f>
        <v>0.188496</v>
      </c>
      <c r="F66" s="24" t="n">
        <f aca="false">Drivers!$C$85*F64*F65</f>
        <v>0.328328</v>
      </c>
      <c r="G66" s="24" t="n">
        <f aca="false">Drivers!$C$85*G64*G65</f>
        <v>0.5283072</v>
      </c>
      <c r="H66" s="24" t="n">
        <f aca="false">Drivers!$C$85*H64*H65</f>
        <v>0.789503</v>
      </c>
      <c r="I66" s="24" t="n">
        <f aca="false">Drivers!$C$85*I64*I65</f>
        <v>0.97405</v>
      </c>
      <c r="J66" s="24" t="n">
        <f aca="false">Drivers!$C$85*J64*J65</f>
        <v>1.1341</v>
      </c>
      <c r="K66" s="24" t="n">
        <f aca="false">Drivers!$C$85*K64*K65</f>
        <v>1.3281675</v>
      </c>
      <c r="L66" s="24" t="n">
        <f aca="false">Drivers!$C$85*L64*L65</f>
        <v>1.52615375</v>
      </c>
      <c r="M66" s="24" t="n">
        <f aca="false">Drivers!$C$85*M64*M65</f>
        <v>1.70682875</v>
      </c>
      <c r="N66" s="24" t="n">
        <f aca="false">Drivers!$C$85*N64*N65</f>
        <v>1.83253125</v>
      </c>
      <c r="O66" s="24" t="n">
        <f aca="false">Drivers!$C$85*O64*O65</f>
        <v>1.792505</v>
      </c>
      <c r="P66" s="24" t="n">
        <f aca="false">Drivers!$C$85*P64*P65</f>
        <v>1.83529885</v>
      </c>
      <c r="Q66" s="24" t="n">
        <f aca="false">Drivers!$C$85*Q64*Q65</f>
        <v>1.847918072</v>
      </c>
      <c r="R66" s="24" t="n">
        <f aca="false">Drivers!$C$85*R64*R65</f>
        <v>1.83261677984</v>
      </c>
      <c r="S66" s="24" t="n">
        <f aca="false">Drivers!$C$85*S64*S65</f>
        <v>1.6934745264448</v>
      </c>
      <c r="T66" s="24" t="n">
        <f aca="false">Drivers!$C$85*T64*T65</f>
        <v>1.65426154065146</v>
      </c>
      <c r="U66" s="24" t="n">
        <f aca="false">Drivers!$C$85*U64*U65</f>
        <v>1.61363994443191</v>
      </c>
    </row>
    <row r="67" customFormat="false" ht="15" hidden="false" customHeight="false" outlineLevel="0" collapsed="false">
      <c r="A67" s="9" t="s">
        <v>356</v>
      </c>
      <c r="B67" s="35" t="s">
        <v>326</v>
      </c>
      <c r="C67" s="24" t="n">
        <f aca="false">Drivers!$D$92</f>
        <v>0.4</v>
      </c>
      <c r="D67" s="24" t="n">
        <f aca="false">Drivers!$E$92</f>
        <v>0.4</v>
      </c>
      <c r="E67" s="24" t="n">
        <f aca="false">Drivers!$F$92</f>
        <v>0.4</v>
      </c>
      <c r="F67" s="24" t="n">
        <f aca="false">Drivers!$G$92</f>
        <v>0.4</v>
      </c>
      <c r="G67" s="24" t="n">
        <f aca="false">Drivers!$H$92</f>
        <v>0.35</v>
      </c>
      <c r="H67" s="24" t="n">
        <f aca="false">Drivers!$I$92</f>
        <v>0.35</v>
      </c>
      <c r="I67" s="24" t="n">
        <f aca="false">Drivers!$J$92</f>
        <v>0.3</v>
      </c>
      <c r="J67" s="24" t="n">
        <f aca="false">Drivers!$K$92</f>
        <v>0.25</v>
      </c>
      <c r="K67" s="24" t="n">
        <f aca="false">Drivers!$C$93</f>
        <v>0.2</v>
      </c>
      <c r="L67" s="24" t="n">
        <f aca="false">Drivers!$C$93</f>
        <v>0.2</v>
      </c>
      <c r="M67" s="24" t="n">
        <f aca="false">Drivers!$C$93</f>
        <v>0.2</v>
      </c>
      <c r="N67" s="24" t="n">
        <f aca="false">Drivers!$C$93</f>
        <v>0.2</v>
      </c>
      <c r="O67" s="24" t="n">
        <f aca="false">Drivers!$C$93</f>
        <v>0.2</v>
      </c>
      <c r="P67" s="24" t="n">
        <f aca="false">Drivers!$C$93</f>
        <v>0.2</v>
      </c>
      <c r="Q67" s="24" t="n">
        <f aca="false">Drivers!$C$93</f>
        <v>0.2</v>
      </c>
      <c r="R67" s="24" t="n">
        <f aca="false">Drivers!$C$93</f>
        <v>0.2</v>
      </c>
      <c r="S67" s="24" t="n">
        <f aca="false">Drivers!$C$93</f>
        <v>0.2</v>
      </c>
      <c r="T67" s="24" t="n">
        <f aca="false">Drivers!$C$93</f>
        <v>0.2</v>
      </c>
      <c r="U67" s="24" t="n">
        <f aca="false">Drivers!$C$93</f>
        <v>0.2</v>
      </c>
    </row>
    <row r="68" customFormat="false" ht="15" hidden="false" customHeight="false" outlineLevel="0" collapsed="false">
      <c r="A68" s="3" t="s">
        <v>357</v>
      </c>
      <c r="B68" s="35" t="s">
        <v>326</v>
      </c>
      <c r="C68" s="29" t="n">
        <f aca="false">C66-C67</f>
        <v>-0.380288</v>
      </c>
      <c r="D68" s="29" t="n">
        <f aca="false">D66-D67</f>
        <v>-0.31684</v>
      </c>
      <c r="E68" s="29" t="n">
        <f aca="false">E66-E67</f>
        <v>-0.211504</v>
      </c>
      <c r="F68" s="29" t="n">
        <f aca="false">F66-F67</f>
        <v>-0.071672</v>
      </c>
      <c r="G68" s="29" t="n">
        <f aca="false">G66-G67</f>
        <v>0.1783072</v>
      </c>
      <c r="H68" s="29" t="n">
        <f aca="false">H66-H67</f>
        <v>0.439503</v>
      </c>
      <c r="I68" s="29" t="n">
        <f aca="false">I66-I67</f>
        <v>0.67405</v>
      </c>
      <c r="J68" s="29" t="n">
        <f aca="false">J66-J67</f>
        <v>0.8841</v>
      </c>
      <c r="K68" s="29" t="n">
        <f aca="false">K66-K67</f>
        <v>1.1281675</v>
      </c>
      <c r="L68" s="29" t="n">
        <f aca="false">L66-L67</f>
        <v>1.32615375</v>
      </c>
      <c r="M68" s="29" t="n">
        <f aca="false">M66-M67</f>
        <v>1.50682875</v>
      </c>
      <c r="N68" s="29" t="n">
        <f aca="false">N66-N67</f>
        <v>1.63253125</v>
      </c>
      <c r="O68" s="29" t="n">
        <f aca="false">O66-O67</f>
        <v>1.592505</v>
      </c>
      <c r="P68" s="29" t="n">
        <f aca="false">P66-P67</f>
        <v>1.63529885</v>
      </c>
      <c r="Q68" s="29" t="n">
        <f aca="false">Q66-Q67</f>
        <v>1.647918072</v>
      </c>
      <c r="R68" s="29" t="n">
        <f aca="false">R66-R67</f>
        <v>1.63261677984</v>
      </c>
      <c r="S68" s="29" t="n">
        <f aca="false">S66-S67</f>
        <v>1.4934745264448</v>
      </c>
      <c r="T68" s="29" t="n">
        <f aca="false">T66-T67</f>
        <v>1.45426154065146</v>
      </c>
      <c r="U68" s="29" t="n">
        <f aca="false">U66-U67</f>
        <v>1.41363994443191</v>
      </c>
    </row>
    <row r="69" customFormat="false" ht="15" hidden="false" customHeight="false" outlineLevel="0" collapsed="false">
      <c r="A69" s="3" t="s">
        <v>358</v>
      </c>
    </row>
    <row r="70" customFormat="false" ht="15" hidden="false" customHeight="false" outlineLevel="0" collapsed="false">
      <c r="A70" s="9" t="s">
        <v>359</v>
      </c>
      <c r="B70" s="35" t="s">
        <v>326</v>
      </c>
      <c r="C70" s="24" t="n">
        <f aca="false">Drivers!$C$107*Drivers!$C$108*IF((C$35-Drivers!$C$109)&lt;0,0,IF((C$35-Drivers!$C$109)&gt;=7,1,INDEX(Drivers!$D$86:$J$86,(C$35-Drivers!$C$109)+1)))*IF((C$35-Drivers!$C$109)&lt;Drivers!$C$87,1,Drivers!$C$88*Drivers!$C$89^((C$35-Drivers!$C$109)-Drivers!$C$87))</f>
        <v>0</v>
      </c>
      <c r="D70" s="24" t="n">
        <f aca="false">Drivers!$C$107*Drivers!$C$108*IF((D$35-Drivers!$C$109)&lt;0,0,IF((D$35-Drivers!$C$109)&gt;=7,1,INDEX(Drivers!$D$86:$J$86,(D$35-Drivers!$C$109)+1)))*IF((D$35-Drivers!$C$109)&lt;Drivers!$C$87,1,Drivers!$C$88*Drivers!$C$89^((D$35-Drivers!$C$109)-Drivers!$C$87))</f>
        <v>0</v>
      </c>
      <c r="E70" s="24" t="n">
        <f aca="false">Drivers!$C$107*Drivers!$C$108*IF((E$35-Drivers!$C$109)&lt;0,0,IF((E$35-Drivers!$C$109)&gt;=7,1,INDEX(Drivers!$D$86:$J$86,(E$35-Drivers!$C$109)+1)))*IF((E$35-Drivers!$C$109)&lt;Drivers!$C$87,1,Drivers!$C$88*Drivers!$C$89^((E$35-Drivers!$C$109)-Drivers!$C$87))</f>
        <v>0</v>
      </c>
      <c r="F70" s="24" t="n">
        <f aca="false">Drivers!$C$107*Drivers!$C$108*IF((F$35-Drivers!$C$109)&lt;0,0,IF((F$35-Drivers!$C$109)&gt;=7,1,INDEX(Drivers!$D$86:$J$86,(F$35-Drivers!$C$109)+1)))*IF((F$35-Drivers!$C$109)&lt;Drivers!$C$87,1,Drivers!$C$88*Drivers!$C$89^((F$35-Drivers!$C$109)-Drivers!$C$87))</f>
        <v>0</v>
      </c>
      <c r="G70" s="24" t="n">
        <f aca="false">Drivers!$C$107*Drivers!$C$108*IF((G$35-Drivers!$C$109)&lt;0,0,IF((G$35-Drivers!$C$109)&gt;=7,1,INDEX(Drivers!$D$86:$J$86,(G$35-Drivers!$C$109)+1)))*IF((G$35-Drivers!$C$109)&lt;Drivers!$C$87,1,Drivers!$C$88*Drivers!$C$89^((G$35-Drivers!$C$109)-Drivers!$C$87))</f>
        <v>0.016</v>
      </c>
      <c r="H70" s="24" t="n">
        <f aca="false">Drivers!$C$107*Drivers!$C$108*IF((H$35-Drivers!$C$109)&lt;0,0,IF((H$35-Drivers!$C$109)&gt;=7,1,INDEX(Drivers!$D$86:$J$86,(H$35-Drivers!$C$109)+1)))*IF((H$35-Drivers!$C$109)&lt;Drivers!$C$87,1,Drivers!$C$88*Drivers!$C$89^((H$35-Drivers!$C$109)-Drivers!$C$87))</f>
        <v>0.05</v>
      </c>
      <c r="I70" s="24" t="n">
        <f aca="false">Drivers!$C$107*Drivers!$C$108*IF((I$35-Drivers!$C$109)&lt;0,0,IF((I$35-Drivers!$C$109)&gt;=7,1,INDEX(Drivers!$D$86:$J$86,(I$35-Drivers!$C$109)+1)))*IF((I$35-Drivers!$C$109)&lt;Drivers!$C$87,1,Drivers!$C$88*Drivers!$C$89^((I$35-Drivers!$C$109)-Drivers!$C$87))</f>
        <v>0.09</v>
      </c>
      <c r="J70" s="24" t="n">
        <f aca="false">Drivers!$C$107*Drivers!$C$108*IF((J$35-Drivers!$C$109)&lt;0,0,IF((J$35-Drivers!$C$109)&gt;=7,1,INDEX(Drivers!$D$86:$J$86,(J$35-Drivers!$C$109)+1)))*IF((J$35-Drivers!$C$109)&lt;Drivers!$C$87,1,Drivers!$C$88*Drivers!$C$89^((J$35-Drivers!$C$109)-Drivers!$C$87))</f>
        <v>0.13</v>
      </c>
      <c r="K70" s="24" t="n">
        <f aca="false">Drivers!$C$107*Drivers!$C$108*IF((K$35-Drivers!$C$109)&lt;0,0,IF((K$35-Drivers!$C$109)&gt;=7,1,INDEX(Drivers!$D$86:$J$86,(K$35-Drivers!$C$109)+1)))*IF((K$35-Drivers!$C$109)&lt;Drivers!$C$87,1,Drivers!$C$88*Drivers!$C$89^((K$35-Drivers!$C$109)-Drivers!$C$87))</f>
        <v>0.164</v>
      </c>
      <c r="L70" s="24" t="n">
        <f aca="false">Drivers!$C$107*Drivers!$C$108*IF((L$35-Drivers!$C$109)&lt;0,0,IF((L$35-Drivers!$C$109)&gt;=7,1,INDEX(Drivers!$D$86:$J$86,(L$35-Drivers!$C$109)+1)))*IF((L$35-Drivers!$C$109)&lt;Drivers!$C$87,1,Drivers!$C$88*Drivers!$C$89^((L$35-Drivers!$C$109)-Drivers!$C$87))</f>
        <v>0.186</v>
      </c>
      <c r="M70" s="24" t="n">
        <f aca="false">Drivers!$C$107*Drivers!$C$108*IF((M$35-Drivers!$C$109)&lt;0,0,IF((M$35-Drivers!$C$109)&gt;=7,1,INDEX(Drivers!$D$86:$J$86,(M$35-Drivers!$C$109)+1)))*IF((M$35-Drivers!$C$109)&lt;Drivers!$C$87,1,Drivers!$C$88*Drivers!$C$89^((M$35-Drivers!$C$109)-Drivers!$C$87))</f>
        <v>0.2</v>
      </c>
      <c r="N70" s="24" t="n">
        <f aca="false">Drivers!$C$107*Drivers!$C$108*IF((N$35-Drivers!$C$109)&lt;0,0,IF((N$35-Drivers!$C$109)&gt;=7,1,INDEX(Drivers!$D$86:$J$86,(N$35-Drivers!$C$109)+1)))*IF((N$35-Drivers!$C$109)&lt;Drivers!$C$87,1,Drivers!$C$88*Drivers!$C$89^((N$35-Drivers!$C$109)-Drivers!$C$87))</f>
        <v>0.2</v>
      </c>
      <c r="O70" s="24" t="n">
        <f aca="false">Drivers!$C$107*Drivers!$C$108*IF((O$35-Drivers!$C$109)&lt;0,0,IF((O$35-Drivers!$C$109)&gt;=7,1,INDEX(Drivers!$D$86:$J$86,(O$35-Drivers!$C$109)+1)))*IF((O$35-Drivers!$C$109)&lt;Drivers!$C$87,1,Drivers!$C$88*Drivers!$C$89^((O$35-Drivers!$C$109)-Drivers!$C$87))</f>
        <v>0.2</v>
      </c>
      <c r="P70" s="24" t="n">
        <f aca="false">Drivers!$C$107*Drivers!$C$108*IF((P$35-Drivers!$C$109)&lt;0,0,IF((P$35-Drivers!$C$109)&gt;=7,1,INDEX(Drivers!$D$86:$J$86,(P$35-Drivers!$C$109)+1)))*IF((P$35-Drivers!$C$109)&lt;Drivers!$C$87,1,Drivers!$C$88*Drivers!$C$89^((P$35-Drivers!$C$109)-Drivers!$C$87))</f>
        <v>0.2</v>
      </c>
      <c r="Q70" s="24" t="n">
        <f aca="false">Drivers!$C$107*Drivers!$C$108*IF((Q$35-Drivers!$C$109)&lt;0,0,IF((Q$35-Drivers!$C$109)&gt;=7,1,INDEX(Drivers!$D$86:$J$86,(Q$35-Drivers!$C$109)+1)))*IF((Q$35-Drivers!$C$109)&lt;Drivers!$C$87,1,Drivers!$C$88*Drivers!$C$89^((Q$35-Drivers!$C$109)-Drivers!$C$87))</f>
        <v>0.2</v>
      </c>
      <c r="R70" s="24" t="n">
        <f aca="false">Drivers!$C$107*Drivers!$C$108*IF((R$35-Drivers!$C$109)&lt;0,0,IF((R$35-Drivers!$C$109)&gt;=7,1,INDEX(Drivers!$D$86:$J$86,(R$35-Drivers!$C$109)+1)))*IF((R$35-Drivers!$C$109)&lt;Drivers!$C$87,1,Drivers!$C$88*Drivers!$C$89^((R$35-Drivers!$C$109)-Drivers!$C$87))</f>
        <v>0.2</v>
      </c>
      <c r="S70" s="24" t="n">
        <f aca="false">Drivers!$C$107*Drivers!$C$108*IF((S$35-Drivers!$C$109)&lt;0,0,IF((S$35-Drivers!$C$109)&gt;=7,1,INDEX(Drivers!$D$86:$J$86,(S$35-Drivers!$C$109)+1)))*IF((S$35-Drivers!$C$109)&lt;Drivers!$C$87,1,Drivers!$C$88*Drivers!$C$89^((S$35-Drivers!$C$109)-Drivers!$C$87))</f>
        <v>0.16</v>
      </c>
      <c r="T70" s="24" t="n">
        <f aca="false">Drivers!$C$107*Drivers!$C$108*IF((T$35-Drivers!$C$109)&lt;0,0,IF((T$35-Drivers!$C$109)&gt;=7,1,INDEX(Drivers!$D$86:$J$86,(T$35-Drivers!$C$109)+1)))*IF((T$35-Drivers!$C$109)&lt;Drivers!$C$87,1,Drivers!$C$88*Drivers!$C$89^((T$35-Drivers!$C$109)-Drivers!$C$87))</f>
        <v>0.1552</v>
      </c>
      <c r="U70" s="24" t="n">
        <f aca="false">Drivers!$C$107*Drivers!$C$108*IF((U$35-Drivers!$C$109)&lt;0,0,IF((U$35-Drivers!$C$109)&gt;=7,1,INDEX(Drivers!$D$86:$J$86,(U$35-Drivers!$C$109)+1)))*IF((U$35-Drivers!$C$109)&lt;Drivers!$C$87,1,Drivers!$C$88*Drivers!$C$89^((U$35-Drivers!$C$109)-Drivers!$C$87))</f>
        <v>0.150544</v>
      </c>
    </row>
    <row r="71" customFormat="false" ht="15" hidden="false" customHeight="false" outlineLevel="0" collapsed="false">
      <c r="A71" s="9" t="s">
        <v>360</v>
      </c>
      <c r="B71" s="35" t="s">
        <v>326</v>
      </c>
      <c r="C71" s="24" t="n">
        <f aca="false">Drivers!$D$111</f>
        <v>0.12</v>
      </c>
      <c r="D71" s="24" t="n">
        <f aca="false">Drivers!$E$111+Drivers!$C$112*Drivers!$C$113/3</f>
        <v>0.190833333333333</v>
      </c>
      <c r="E71" s="24" t="n">
        <f aca="false">Drivers!$F$111+Drivers!$C$112*Drivers!$C$113/3</f>
        <v>0.190833333333333</v>
      </c>
      <c r="F71" s="24" t="n">
        <f aca="false">Drivers!$G$111+Drivers!$C$112*Drivers!$C$113/3</f>
        <v>0.140833333333333</v>
      </c>
      <c r="G71" s="24" t="n">
        <f aca="false">Drivers!$H$111</f>
        <v>0.08</v>
      </c>
      <c r="H71" s="24" t="n">
        <f aca="false">0</f>
        <v>0</v>
      </c>
      <c r="I71" s="24" t="n">
        <f aca="false">0</f>
        <v>0</v>
      </c>
      <c r="J71" s="24" t="n">
        <f aca="false">0</f>
        <v>0</v>
      </c>
      <c r="K71" s="24" t="n">
        <f aca="false">0</f>
        <v>0</v>
      </c>
      <c r="L71" s="24" t="n">
        <f aca="false">0</f>
        <v>0</v>
      </c>
      <c r="M71" s="24" t="n">
        <f aca="false">0</f>
        <v>0</v>
      </c>
      <c r="N71" s="24" t="n">
        <f aca="false">0</f>
        <v>0</v>
      </c>
      <c r="O71" s="24" t="n">
        <f aca="false">0</f>
        <v>0</v>
      </c>
      <c r="P71" s="24" t="n">
        <f aca="false">0</f>
        <v>0</v>
      </c>
      <c r="Q71" s="24" t="n">
        <f aca="false">0</f>
        <v>0</v>
      </c>
      <c r="R71" s="24" t="n">
        <f aca="false">0</f>
        <v>0</v>
      </c>
      <c r="S71" s="24" t="n">
        <f aca="false">0</f>
        <v>0</v>
      </c>
      <c r="T71" s="24" t="n">
        <f aca="false">0</f>
        <v>0</v>
      </c>
      <c r="U71" s="24" t="n">
        <f aca="false">0</f>
        <v>0</v>
      </c>
    </row>
    <row r="72" customFormat="false" ht="15" hidden="false" customHeight="false" outlineLevel="0" collapsed="false">
      <c r="A72" s="3" t="s">
        <v>361</v>
      </c>
      <c r="B72" s="35" t="s">
        <v>326</v>
      </c>
      <c r="C72" s="29" t="n">
        <f aca="false">C70*IF((C$35-Drivers!$C$109)&lt;0,0,0.1+(Drivers!$C$110-0.1)*MIN((C$35-Drivers!$C$109)/5,1))-C71</f>
        <v>-0.12</v>
      </c>
      <c r="D72" s="29" t="n">
        <f aca="false">D70*IF((D$35-Drivers!$C$109)&lt;0,0,0.1+(Drivers!$C$110-0.1)*MIN((D$35-Drivers!$C$109)/5,1))-D71</f>
        <v>-0.190833333333333</v>
      </c>
      <c r="E72" s="29" t="n">
        <f aca="false">E70*IF((E$35-Drivers!$C$109)&lt;0,0,0.1+(Drivers!$C$110-0.1)*MIN((E$35-Drivers!$C$109)/5,1))-E71</f>
        <v>-0.190833333333333</v>
      </c>
      <c r="F72" s="29" t="n">
        <f aca="false">F70*IF((F$35-Drivers!$C$109)&lt;0,0,0.1+(Drivers!$C$110-0.1)*MIN((F$35-Drivers!$C$109)/5,1))-F71</f>
        <v>-0.140833333333333</v>
      </c>
      <c r="G72" s="29" t="n">
        <f aca="false">G70*IF((G$35-Drivers!$C$109)&lt;0,0,0.1+(Drivers!$C$110-0.1)*MIN((G$35-Drivers!$C$109)/5,1))-G71</f>
        <v>-0.0784</v>
      </c>
      <c r="H72" s="29" t="n">
        <f aca="false">H70*IF((H$35-Drivers!$C$109)&lt;0,0,0.1+(Drivers!$C$110-0.1)*MIN((H$35-Drivers!$C$109)/5,1))-H71</f>
        <v>0.0085</v>
      </c>
      <c r="I72" s="29" t="n">
        <f aca="false">I70*IF((I$35-Drivers!$C$109)&lt;0,0,0.1+(Drivers!$C$110-0.1)*MIN((I$35-Drivers!$C$109)/5,1))-I71</f>
        <v>0.0216</v>
      </c>
      <c r="J72" s="29" t="n">
        <f aca="false">J70*IF((J$35-Drivers!$C$109)&lt;0,0,0.1+(Drivers!$C$110-0.1)*MIN((J$35-Drivers!$C$109)/5,1))-J71</f>
        <v>0.0403</v>
      </c>
      <c r="K72" s="29" t="n">
        <f aca="false">K70*IF((K$35-Drivers!$C$109)&lt;0,0,0.1+(Drivers!$C$110-0.1)*MIN((K$35-Drivers!$C$109)/5,1))-K71</f>
        <v>0.06232</v>
      </c>
      <c r="L72" s="29" t="n">
        <f aca="false">L70*IF((L$35-Drivers!$C$109)&lt;0,0,0.1+(Drivers!$C$110-0.1)*MIN((L$35-Drivers!$C$109)/5,1))-L71</f>
        <v>0.0837</v>
      </c>
      <c r="M72" s="29" t="n">
        <f aca="false">M70*IF((M$35-Drivers!$C$109)&lt;0,0,0.1+(Drivers!$C$110-0.1)*MIN((M$35-Drivers!$C$109)/5,1))-M71</f>
        <v>0.09</v>
      </c>
      <c r="N72" s="29" t="n">
        <f aca="false">N70*IF((N$35-Drivers!$C$109)&lt;0,0,0.1+(Drivers!$C$110-0.1)*MIN((N$35-Drivers!$C$109)/5,1))-N71</f>
        <v>0.09</v>
      </c>
      <c r="O72" s="29" t="n">
        <f aca="false">O70*IF((O$35-Drivers!$C$109)&lt;0,0,0.1+(Drivers!$C$110-0.1)*MIN((O$35-Drivers!$C$109)/5,1))-O71</f>
        <v>0.09</v>
      </c>
      <c r="P72" s="29" t="n">
        <f aca="false">P70*IF((P$35-Drivers!$C$109)&lt;0,0,0.1+(Drivers!$C$110-0.1)*MIN((P$35-Drivers!$C$109)/5,1))-P71</f>
        <v>0.09</v>
      </c>
      <c r="Q72" s="29" t="n">
        <f aca="false">Q70*IF((Q$35-Drivers!$C$109)&lt;0,0,0.1+(Drivers!$C$110-0.1)*MIN((Q$35-Drivers!$C$109)/5,1))-Q71</f>
        <v>0.09</v>
      </c>
      <c r="R72" s="29" t="n">
        <f aca="false">R70*IF((R$35-Drivers!$C$109)&lt;0,0,0.1+(Drivers!$C$110-0.1)*MIN((R$35-Drivers!$C$109)/5,1))-R71</f>
        <v>0.09</v>
      </c>
      <c r="S72" s="29" t="n">
        <f aca="false">S70*IF((S$35-Drivers!$C$109)&lt;0,0,0.1+(Drivers!$C$110-0.1)*MIN((S$35-Drivers!$C$109)/5,1))-S71</f>
        <v>0.072</v>
      </c>
      <c r="T72" s="29" t="n">
        <f aca="false">T70*IF((T$35-Drivers!$C$109)&lt;0,0,0.1+(Drivers!$C$110-0.1)*MIN((T$35-Drivers!$C$109)/5,1))-T71</f>
        <v>0.06984</v>
      </c>
      <c r="U72" s="29" t="n">
        <f aca="false">U70*IF((U$35-Drivers!$C$109)&lt;0,0,0.1+(Drivers!$C$110-0.1)*MIN((U$35-Drivers!$C$109)/5,1))-U71</f>
        <v>0.0677448</v>
      </c>
    </row>
    <row r="73" customFormat="false" ht="15" hidden="false" customHeight="false" outlineLevel="0" collapsed="false">
      <c r="A73" s="9" t="s">
        <v>362</v>
      </c>
      <c r="B73" s="35" t="s">
        <v>326</v>
      </c>
      <c r="C73" s="24" t="n">
        <f aca="false">Drivers!$C$114*Drivers!$C$115*IF((C$35-Drivers!$C$116)&lt;0,0,MIN(((C$35-Drivers!$C$116)+1)/5,1))</f>
        <v>0</v>
      </c>
      <c r="D73" s="24" t="n">
        <f aca="false">Drivers!$C$114*Drivers!$C$115*IF((D$35-Drivers!$C$116)&lt;0,0,MIN(((D$35-Drivers!$C$116)+1)/5,1))</f>
        <v>0.044</v>
      </c>
      <c r="E73" s="24" t="n">
        <f aca="false">Drivers!$C$114*Drivers!$C$115*IF((E$35-Drivers!$C$116)&lt;0,0,MIN(((E$35-Drivers!$C$116)+1)/5,1))</f>
        <v>0.088</v>
      </c>
      <c r="F73" s="24" t="n">
        <f aca="false">Drivers!$C$114*Drivers!$C$115*IF((F$35-Drivers!$C$116)&lt;0,0,MIN(((F$35-Drivers!$C$116)+1)/5,1))</f>
        <v>0.132</v>
      </c>
      <c r="G73" s="24" t="n">
        <f aca="false">Drivers!$C$114*Drivers!$C$115*IF((G$35-Drivers!$C$116)&lt;0,0,MIN(((G$35-Drivers!$C$116)+1)/5,1))</f>
        <v>0.176</v>
      </c>
      <c r="H73" s="24" t="n">
        <f aca="false">Drivers!$C$114*Drivers!$C$115*IF((H$35-Drivers!$C$116)&lt;0,0,MIN(((H$35-Drivers!$C$116)+1)/5,1))</f>
        <v>0.22</v>
      </c>
      <c r="I73" s="24" t="n">
        <f aca="false">Drivers!$C$114*Drivers!$C$115*IF((I$35-Drivers!$C$116)&lt;0,0,MIN(((I$35-Drivers!$C$116)+1)/5,1))</f>
        <v>0.22</v>
      </c>
      <c r="J73" s="24" t="n">
        <f aca="false">Drivers!$C$114*Drivers!$C$115*IF((J$35-Drivers!$C$116)&lt;0,0,MIN(((J$35-Drivers!$C$116)+1)/5,1))</f>
        <v>0.22</v>
      </c>
      <c r="K73" s="24" t="n">
        <f aca="false">Drivers!$C$114*Drivers!$C$115*IF((K$35-Drivers!$C$116)&lt;0,0,MIN(((K$35-Drivers!$C$116)+1)/5,1))</f>
        <v>0.22</v>
      </c>
      <c r="L73" s="24" t="n">
        <f aca="false">Drivers!$C$114*Drivers!$C$115*IF((L$35-Drivers!$C$116)&lt;0,0,MIN(((L$35-Drivers!$C$116)+1)/5,1))</f>
        <v>0.22</v>
      </c>
      <c r="M73" s="24" t="n">
        <f aca="false">Drivers!$C$114*Drivers!$C$115*IF((M$35-Drivers!$C$116)&lt;0,0,MIN(((M$35-Drivers!$C$116)+1)/5,1))</f>
        <v>0.22</v>
      </c>
      <c r="N73" s="24" t="n">
        <f aca="false">Drivers!$C$114*Drivers!$C$115*IF((N$35-Drivers!$C$116)&lt;0,0,MIN(((N$35-Drivers!$C$116)+1)/5,1))</f>
        <v>0.22</v>
      </c>
      <c r="O73" s="24" t="n">
        <f aca="false">Drivers!$C$114*Drivers!$C$115*IF((O$35-Drivers!$C$116)&lt;0,0,MIN(((O$35-Drivers!$C$116)+1)/5,1))</f>
        <v>0.22</v>
      </c>
      <c r="P73" s="24" t="n">
        <f aca="false">Drivers!$C$114*Drivers!$C$115*IF((P$35-Drivers!$C$116)&lt;0,0,MIN(((P$35-Drivers!$C$116)+1)/5,1))</f>
        <v>0.22</v>
      </c>
      <c r="Q73" s="24" t="n">
        <f aca="false">Drivers!$C$114*Drivers!$C$115*IF((Q$35-Drivers!$C$116)&lt;0,0,MIN(((Q$35-Drivers!$C$116)+1)/5,1))</f>
        <v>0.22</v>
      </c>
      <c r="R73" s="24" t="n">
        <f aca="false">Drivers!$C$114*Drivers!$C$115*IF((R$35-Drivers!$C$116)&lt;0,0,MIN(((R$35-Drivers!$C$116)+1)/5,1))</f>
        <v>0.22</v>
      </c>
      <c r="S73" s="24" t="n">
        <f aca="false">Drivers!$C$114*Drivers!$C$115*IF((S$35-Drivers!$C$116)&lt;0,0,MIN(((S$35-Drivers!$C$116)+1)/5,1))</f>
        <v>0.22</v>
      </c>
      <c r="T73" s="24" t="n">
        <f aca="false">Drivers!$C$114*Drivers!$C$115*IF((T$35-Drivers!$C$116)&lt;0,0,MIN(((T$35-Drivers!$C$116)+1)/5,1))</f>
        <v>0.22</v>
      </c>
      <c r="U73" s="24" t="n">
        <f aca="false">Drivers!$C$114*Drivers!$C$115*IF((U$35-Drivers!$C$116)&lt;0,0,MIN(((U$35-Drivers!$C$116)+1)/5,1))</f>
        <v>0.22</v>
      </c>
    </row>
    <row r="74" customFormat="false" ht="15" hidden="false" customHeight="false" outlineLevel="0" collapsed="false">
      <c r="A74" s="9" t="s">
        <v>363</v>
      </c>
      <c r="B74" s="35" t="s">
        <v>326</v>
      </c>
      <c r="C74" s="24" t="n">
        <f aca="false">Drivers!$C$120*Drivers!$C$121*IF((C$35-Drivers!$C$122)&lt;0,0,MIN(((C$35-Drivers!$C$122)+1)/5,1))</f>
        <v>0</v>
      </c>
      <c r="D74" s="24" t="n">
        <f aca="false">Drivers!$C$120*Drivers!$C$121*IF((D$35-Drivers!$C$122)&lt;0,0,MIN(((D$35-Drivers!$C$122)+1)/5,1))</f>
        <v>0</v>
      </c>
      <c r="E74" s="24" t="n">
        <f aca="false">Drivers!$C$120*Drivers!$C$121*IF((E$35-Drivers!$C$122)&lt;0,0,MIN(((E$35-Drivers!$C$122)+1)/5,1))</f>
        <v>0</v>
      </c>
      <c r="F74" s="24" t="n">
        <f aca="false">Drivers!$C$120*Drivers!$C$121*IF((F$35-Drivers!$C$122)&lt;0,0,MIN(((F$35-Drivers!$C$122)+1)/5,1))</f>
        <v>0</v>
      </c>
      <c r="G74" s="24" t="n">
        <f aca="false">Drivers!$C$120*Drivers!$C$121*IF((G$35-Drivers!$C$122)&lt;0,0,MIN(((G$35-Drivers!$C$122)+1)/5,1))</f>
        <v>0.016</v>
      </c>
      <c r="H74" s="24" t="n">
        <f aca="false">Drivers!$C$120*Drivers!$C$121*IF((H$35-Drivers!$C$122)&lt;0,0,MIN(((H$35-Drivers!$C$122)+1)/5,1))</f>
        <v>0.032</v>
      </c>
      <c r="I74" s="24" t="n">
        <f aca="false">Drivers!$C$120*Drivers!$C$121*IF((I$35-Drivers!$C$122)&lt;0,0,MIN(((I$35-Drivers!$C$122)+1)/5,1))</f>
        <v>0.048</v>
      </c>
      <c r="J74" s="24" t="n">
        <f aca="false">Drivers!$C$120*Drivers!$C$121*IF((J$35-Drivers!$C$122)&lt;0,0,MIN(((J$35-Drivers!$C$122)+1)/5,1))</f>
        <v>0.064</v>
      </c>
      <c r="K74" s="24" t="n">
        <f aca="false">Drivers!$C$120*Drivers!$C$121*IF((K$35-Drivers!$C$122)&lt;0,0,MIN(((K$35-Drivers!$C$122)+1)/5,1))</f>
        <v>0.08</v>
      </c>
      <c r="L74" s="24" t="n">
        <f aca="false">Drivers!$C$120*Drivers!$C$121*IF((L$35-Drivers!$C$122)&lt;0,0,MIN(((L$35-Drivers!$C$122)+1)/5,1))</f>
        <v>0.08</v>
      </c>
      <c r="M74" s="24" t="n">
        <f aca="false">Drivers!$C$120*Drivers!$C$121*IF((M$35-Drivers!$C$122)&lt;0,0,MIN(((M$35-Drivers!$C$122)+1)/5,1))</f>
        <v>0.08</v>
      </c>
      <c r="N74" s="24" t="n">
        <f aca="false">Drivers!$C$120*Drivers!$C$121*IF((N$35-Drivers!$C$122)&lt;0,0,MIN(((N$35-Drivers!$C$122)+1)/5,1))</f>
        <v>0.08</v>
      </c>
      <c r="O74" s="24" t="n">
        <f aca="false">Drivers!$C$120*Drivers!$C$121*IF((O$35-Drivers!$C$122)&lt;0,0,MIN(((O$35-Drivers!$C$122)+1)/5,1))</f>
        <v>0.08</v>
      </c>
      <c r="P74" s="24" t="n">
        <f aca="false">Drivers!$C$120*Drivers!$C$121*IF((P$35-Drivers!$C$122)&lt;0,0,MIN(((P$35-Drivers!$C$122)+1)/5,1))</f>
        <v>0.08</v>
      </c>
      <c r="Q74" s="24" t="n">
        <f aca="false">Drivers!$C$120*Drivers!$C$121*IF((Q$35-Drivers!$C$122)&lt;0,0,MIN(((Q$35-Drivers!$C$122)+1)/5,1))</f>
        <v>0.08</v>
      </c>
      <c r="R74" s="24" t="n">
        <f aca="false">Drivers!$C$120*Drivers!$C$121*IF((R$35-Drivers!$C$122)&lt;0,0,MIN(((R$35-Drivers!$C$122)+1)/5,1))</f>
        <v>0.08</v>
      </c>
      <c r="S74" s="24" t="n">
        <f aca="false">Drivers!$C$120*Drivers!$C$121*IF((S$35-Drivers!$C$122)&lt;0,0,MIN(((S$35-Drivers!$C$122)+1)/5,1))</f>
        <v>0.08</v>
      </c>
      <c r="T74" s="24" t="n">
        <f aca="false">Drivers!$C$120*Drivers!$C$121*IF((T$35-Drivers!$C$122)&lt;0,0,MIN(((T$35-Drivers!$C$122)+1)/5,1))</f>
        <v>0.08</v>
      </c>
      <c r="U74" s="24" t="n">
        <f aca="false">Drivers!$C$120*Drivers!$C$121*IF((U$35-Drivers!$C$122)&lt;0,0,MIN(((U$35-Drivers!$C$122)+1)/5,1))</f>
        <v>0.08</v>
      </c>
    </row>
    <row r="75" customFormat="false" ht="15" hidden="false" customHeight="false" outlineLevel="0" collapsed="false">
      <c r="A75" s="9" t="s">
        <v>364</v>
      </c>
      <c r="B75" s="35" t="s">
        <v>326</v>
      </c>
      <c r="C75" s="24" t="n">
        <f aca="false">Drivers!$C$125*Drivers!$C$126*IF((C$35-Drivers!$C$127)&lt;0,0,MIN(((C$35-Drivers!$C$127)+1)/5,1))*Drivers!$C$128</f>
        <v>0</v>
      </c>
      <c r="D75" s="24" t="n">
        <f aca="false">Drivers!$C$125*Drivers!$C$126*IF((D$35-Drivers!$C$127)&lt;0,0,MIN(((D$35-Drivers!$C$127)+1)/5,1))*Drivers!$C$128</f>
        <v>0</v>
      </c>
      <c r="E75" s="24" t="n">
        <f aca="false">Drivers!$C$125*Drivers!$C$126*IF((E$35-Drivers!$C$127)&lt;0,0,MIN(((E$35-Drivers!$C$127)+1)/5,1))*Drivers!$C$128</f>
        <v>0</v>
      </c>
      <c r="F75" s="24" t="n">
        <f aca="false">Drivers!$C$125*Drivers!$C$126*IF((F$35-Drivers!$C$127)&lt;0,0,MIN(((F$35-Drivers!$C$127)+1)/5,1))*Drivers!$C$128</f>
        <v>0</v>
      </c>
      <c r="G75" s="24" t="n">
        <f aca="false">Drivers!$C$125*Drivers!$C$126*IF((G$35-Drivers!$C$127)&lt;0,0,MIN(((G$35-Drivers!$C$127)+1)/5,1))*Drivers!$C$128</f>
        <v>0.0016</v>
      </c>
      <c r="H75" s="24" t="n">
        <f aca="false">Drivers!$C$125*Drivers!$C$126*IF((H$35-Drivers!$C$127)&lt;0,0,MIN(((H$35-Drivers!$C$127)+1)/5,1))*Drivers!$C$128</f>
        <v>0.0032</v>
      </c>
      <c r="I75" s="24" t="n">
        <f aca="false">Drivers!$C$125*Drivers!$C$126*IF((I$35-Drivers!$C$127)&lt;0,0,MIN(((I$35-Drivers!$C$127)+1)/5,1))*Drivers!$C$128</f>
        <v>0.0048</v>
      </c>
      <c r="J75" s="24" t="n">
        <f aca="false">Drivers!$C$125*Drivers!$C$126*IF((J$35-Drivers!$C$127)&lt;0,0,MIN(((J$35-Drivers!$C$127)+1)/5,1))*Drivers!$C$128</f>
        <v>0.0064</v>
      </c>
      <c r="K75" s="24" t="n">
        <f aca="false">Drivers!$C$125*Drivers!$C$126*IF((K$35-Drivers!$C$127)&lt;0,0,MIN(((K$35-Drivers!$C$127)+1)/5,1))*Drivers!$C$128</f>
        <v>0.008</v>
      </c>
      <c r="L75" s="24" t="n">
        <f aca="false">Drivers!$C$125*Drivers!$C$126*IF((L$35-Drivers!$C$127)&lt;0,0,MIN(((L$35-Drivers!$C$127)+1)/5,1))*Drivers!$C$128</f>
        <v>0.008</v>
      </c>
      <c r="M75" s="24" t="n">
        <f aca="false">Drivers!$C$125*Drivers!$C$126*IF((M$35-Drivers!$C$127)&lt;0,0,MIN(((M$35-Drivers!$C$127)+1)/5,1))*Drivers!$C$128</f>
        <v>0.008</v>
      </c>
      <c r="N75" s="24" t="n">
        <f aca="false">Drivers!$C$125*Drivers!$C$126*IF((N$35-Drivers!$C$127)&lt;0,0,MIN(((N$35-Drivers!$C$127)+1)/5,1))*Drivers!$C$128</f>
        <v>0.008</v>
      </c>
      <c r="O75" s="24" t="n">
        <f aca="false">Drivers!$C$125*Drivers!$C$126*IF((O$35-Drivers!$C$127)&lt;0,0,MIN(((O$35-Drivers!$C$127)+1)/5,1))*Drivers!$C$128</f>
        <v>0.008</v>
      </c>
      <c r="P75" s="24" t="n">
        <f aca="false">Drivers!$C$125*Drivers!$C$126*IF((P$35-Drivers!$C$127)&lt;0,0,MIN(((P$35-Drivers!$C$127)+1)/5,1))*Drivers!$C$128</f>
        <v>0.008</v>
      </c>
      <c r="Q75" s="24" t="n">
        <f aca="false">Drivers!$C$125*Drivers!$C$126*IF((Q$35-Drivers!$C$127)&lt;0,0,MIN(((Q$35-Drivers!$C$127)+1)/5,1))*Drivers!$C$128</f>
        <v>0.008</v>
      </c>
      <c r="R75" s="24" t="n">
        <f aca="false">Drivers!$C$125*Drivers!$C$126*IF((R$35-Drivers!$C$127)&lt;0,0,MIN(((R$35-Drivers!$C$127)+1)/5,1))*Drivers!$C$128</f>
        <v>0.008</v>
      </c>
      <c r="S75" s="24" t="n">
        <f aca="false">Drivers!$C$125*Drivers!$C$126*IF((S$35-Drivers!$C$127)&lt;0,0,MIN(((S$35-Drivers!$C$127)+1)/5,1))*Drivers!$C$128</f>
        <v>0.008</v>
      </c>
      <c r="T75" s="24" t="n">
        <f aca="false">Drivers!$C$125*Drivers!$C$126*IF((T$35-Drivers!$C$127)&lt;0,0,MIN(((T$35-Drivers!$C$127)+1)/5,1))*Drivers!$C$128</f>
        <v>0.008</v>
      </c>
      <c r="U75" s="24" t="n">
        <f aca="false">Drivers!$C$125*Drivers!$C$126*IF((U$35-Drivers!$C$127)&lt;0,0,MIN(((U$35-Drivers!$C$127)+1)/5,1))*Drivers!$C$128</f>
        <v>0.008</v>
      </c>
    </row>
    <row r="76" customFormat="false" ht="15" hidden="false" customHeight="false" outlineLevel="0" collapsed="false">
      <c r="A76" s="3" t="s">
        <v>365</v>
      </c>
      <c r="B76" s="35" t="s">
        <v>326</v>
      </c>
      <c r="C76" s="29" t="n">
        <f aca="false">C73*Drivers!$C$117+Drivers!$C$114*(Drivers!$C$118*(C$35=Drivers!$C$116)+Drivers!$C$119*(C$35=Drivers!$C$116+3))+C74*Drivers!$C$123-Drivers!$C$124*Drivers!$C$114*AND(C$35&gt;=2027,C$35&lt;=2030)+C75</f>
        <v>-0.044</v>
      </c>
      <c r="D76" s="29" t="n">
        <f aca="false">D73*Drivers!$C$117+Drivers!$C$114*(Drivers!$C$118*(D$35=Drivers!$C$116)+Drivers!$C$119*(D$35=Drivers!$C$116+3))+D74*Drivers!$C$123-Drivers!$C$124*Drivers!$C$114*AND(D$35&gt;=2027,D$35&lt;=2030)+D75</f>
        <v>0.0231</v>
      </c>
      <c r="E76" s="29" t="n">
        <f aca="false">E73*Drivers!$C$117+Drivers!$C$114*(Drivers!$C$118*(E$35=Drivers!$C$116)+Drivers!$C$119*(E$35=Drivers!$C$116+3))+E74*Drivers!$C$123-Drivers!$C$124*Drivers!$C$114*AND(E$35&gt;=2027,E$35&lt;=2030)+E75</f>
        <v>-0.0308</v>
      </c>
      <c r="F76" s="29" t="n">
        <f aca="false">F73*Drivers!$C$117+Drivers!$C$114*(Drivers!$C$118*(F$35=Drivers!$C$116)+Drivers!$C$119*(F$35=Drivers!$C$116+3))+F74*Drivers!$C$123-Drivers!$C$124*Drivers!$C$114*AND(F$35&gt;=2027,F$35&lt;=2030)+F75</f>
        <v>-0.0242</v>
      </c>
      <c r="G76" s="29" t="n">
        <f aca="false">G73*Drivers!$C$117+Drivers!$C$114*(Drivers!$C$118*(G$35=Drivers!$C$116)+Drivers!$C$119*(G$35=Drivers!$C$116+3))+G74*Drivers!$C$123-Drivers!$C$124*Drivers!$C$114*AND(G$35&gt;=2027,G$35&lt;=2030)+G75</f>
        <v>0.091</v>
      </c>
      <c r="H76" s="29" t="n">
        <f aca="false">H73*Drivers!$C$117+Drivers!$C$114*(Drivers!$C$118*(H$35=Drivers!$C$116)+Drivers!$C$119*(H$35=Drivers!$C$116+3))+H74*Drivers!$C$123-Drivers!$C$124*Drivers!$C$114*AND(H$35&gt;=2027,H$35&lt;=2030)+H75</f>
        <v>0.0522</v>
      </c>
      <c r="I76" s="29" t="n">
        <f aca="false">I73*Drivers!$C$117+Drivers!$C$114*(Drivers!$C$118*(I$35=Drivers!$C$116)+Drivers!$C$119*(I$35=Drivers!$C$116+3))+I74*Drivers!$C$123-Drivers!$C$124*Drivers!$C$114*AND(I$35&gt;=2027,I$35&lt;=2030)+I75</f>
        <v>0.0618</v>
      </c>
      <c r="J76" s="29" t="n">
        <f aca="false">J73*Drivers!$C$117+Drivers!$C$114*(Drivers!$C$118*(J$35=Drivers!$C$116)+Drivers!$C$119*(J$35=Drivers!$C$116+3))+J74*Drivers!$C$123-Drivers!$C$124*Drivers!$C$114*AND(J$35&gt;=2027,J$35&lt;=2030)+J75</f>
        <v>0.0714</v>
      </c>
      <c r="K76" s="29" t="n">
        <f aca="false">K73*Drivers!$C$117+Drivers!$C$114*(Drivers!$C$118*(K$35=Drivers!$C$116)+Drivers!$C$119*(K$35=Drivers!$C$116+3))+K74*Drivers!$C$123-Drivers!$C$124*Drivers!$C$114*AND(K$35&gt;=2027,K$35&lt;=2030)+K75</f>
        <v>0.081</v>
      </c>
      <c r="L76" s="29" t="n">
        <f aca="false">L73*Drivers!$C$117+Drivers!$C$114*(Drivers!$C$118*(L$35=Drivers!$C$116)+Drivers!$C$119*(L$35=Drivers!$C$116+3))+L74*Drivers!$C$123-Drivers!$C$124*Drivers!$C$114*AND(L$35&gt;=2027,L$35&lt;=2030)+L75</f>
        <v>0.081</v>
      </c>
      <c r="M76" s="29" t="n">
        <f aca="false">M73*Drivers!$C$117+Drivers!$C$114*(Drivers!$C$118*(M$35=Drivers!$C$116)+Drivers!$C$119*(M$35=Drivers!$C$116+3))+M74*Drivers!$C$123-Drivers!$C$124*Drivers!$C$114*AND(M$35&gt;=2027,M$35&lt;=2030)+M75</f>
        <v>0.081</v>
      </c>
      <c r="N76" s="29" t="n">
        <f aca="false">N73*Drivers!$C$117+Drivers!$C$114*(Drivers!$C$118*(N$35=Drivers!$C$116)+Drivers!$C$119*(N$35=Drivers!$C$116+3))+N74*Drivers!$C$123-Drivers!$C$124*Drivers!$C$114*AND(N$35&gt;=2027,N$35&lt;=2030)+N75</f>
        <v>0.081</v>
      </c>
      <c r="O76" s="29" t="n">
        <f aca="false">O73*Drivers!$C$117+Drivers!$C$114*(Drivers!$C$118*(O$35=Drivers!$C$116)+Drivers!$C$119*(O$35=Drivers!$C$116+3))+O74*Drivers!$C$123-Drivers!$C$124*Drivers!$C$114*AND(O$35&gt;=2027,O$35&lt;=2030)+O75</f>
        <v>0.081</v>
      </c>
      <c r="P76" s="29" t="n">
        <f aca="false">P73*Drivers!$C$117+Drivers!$C$114*(Drivers!$C$118*(P$35=Drivers!$C$116)+Drivers!$C$119*(P$35=Drivers!$C$116+3))+P74*Drivers!$C$123-Drivers!$C$124*Drivers!$C$114*AND(P$35&gt;=2027,P$35&lt;=2030)+P75</f>
        <v>0.081</v>
      </c>
      <c r="Q76" s="29" t="n">
        <f aca="false">Q73*Drivers!$C$117+Drivers!$C$114*(Drivers!$C$118*(Q$35=Drivers!$C$116)+Drivers!$C$119*(Q$35=Drivers!$C$116+3))+Q74*Drivers!$C$123-Drivers!$C$124*Drivers!$C$114*AND(Q$35&gt;=2027,Q$35&lt;=2030)+Q75</f>
        <v>0.081</v>
      </c>
      <c r="R76" s="29" t="n">
        <f aca="false">R73*Drivers!$C$117+Drivers!$C$114*(Drivers!$C$118*(R$35=Drivers!$C$116)+Drivers!$C$119*(R$35=Drivers!$C$116+3))+R74*Drivers!$C$123-Drivers!$C$124*Drivers!$C$114*AND(R$35&gt;=2027,R$35&lt;=2030)+R75</f>
        <v>0.081</v>
      </c>
      <c r="S76" s="29" t="n">
        <f aca="false">S73*Drivers!$C$117+Drivers!$C$114*(Drivers!$C$118*(S$35=Drivers!$C$116)+Drivers!$C$119*(S$35=Drivers!$C$116+3))+S74*Drivers!$C$123-Drivers!$C$124*Drivers!$C$114*AND(S$35&gt;=2027,S$35&lt;=2030)+S75</f>
        <v>0.081</v>
      </c>
      <c r="T76" s="29" t="n">
        <f aca="false">T73*Drivers!$C$117+Drivers!$C$114*(Drivers!$C$118*(T$35=Drivers!$C$116)+Drivers!$C$119*(T$35=Drivers!$C$116+3))+T74*Drivers!$C$123-Drivers!$C$124*Drivers!$C$114*AND(T$35&gt;=2027,T$35&lt;=2030)+T75</f>
        <v>0.081</v>
      </c>
      <c r="U76" s="29" t="n">
        <f aca="false">U73*Drivers!$C$117+Drivers!$C$114*(Drivers!$C$118*(U$35=Drivers!$C$116)+Drivers!$C$119*(U$35=Drivers!$C$116+3))+U74*Drivers!$C$123-Drivers!$C$124*Drivers!$C$114*AND(U$35&gt;=2027,U$35&lt;=2030)+U75</f>
        <v>0.081</v>
      </c>
    </row>
    <row r="77" customFormat="false" ht="15" hidden="false" customHeight="false" outlineLevel="0" collapsed="false">
      <c r="A77" s="3" t="s">
        <v>366</v>
      </c>
    </row>
    <row r="78" customFormat="false" ht="15" hidden="false" customHeight="false" outlineLevel="0" collapsed="false">
      <c r="A78" s="9" t="s">
        <v>298</v>
      </c>
      <c r="B78" s="35" t="s">
        <v>326</v>
      </c>
      <c r="C78" s="24" t="n">
        <f aca="false">Drivers!$C$129*(1+Drivers!$C$130)^C$36</f>
        <v>0.42</v>
      </c>
      <c r="D78" s="24" t="n">
        <f aca="false">Drivers!$C$129*(1+Drivers!$C$130)^D$36</f>
        <v>0.4284</v>
      </c>
      <c r="E78" s="24" t="n">
        <f aca="false">Drivers!$C$129*(1+Drivers!$C$130)^E$36</f>
        <v>0.436968</v>
      </c>
      <c r="F78" s="24" t="n">
        <f aca="false">Drivers!$C$129*(1+Drivers!$C$130)^F$36</f>
        <v>0.44570736</v>
      </c>
      <c r="G78" s="24" t="n">
        <f aca="false">Drivers!$C$129*(1+Drivers!$C$130)^G$36</f>
        <v>0.4546215072</v>
      </c>
      <c r="H78" s="24" t="n">
        <f aca="false">Drivers!$C$129*(1+Drivers!$C$130)^H$36</f>
        <v>0.463713937344</v>
      </c>
      <c r="I78" s="24" t="n">
        <f aca="false">Drivers!$C$129*(1+Drivers!$C$130)^I$36</f>
        <v>0.47298821609088</v>
      </c>
      <c r="J78" s="24" t="n">
        <f aca="false">Drivers!$C$129*(1+Drivers!$C$130)^J$36</f>
        <v>0.482447980412698</v>
      </c>
      <c r="K78" s="24" t="n">
        <f aca="false">Drivers!$C$129*(1+Drivers!$C$130)^K$36</f>
        <v>0.492096940020952</v>
      </c>
      <c r="L78" s="24" t="n">
        <f aca="false">Drivers!$C$129*(1+Drivers!$C$130)^L$36</f>
        <v>0.501938878821371</v>
      </c>
      <c r="M78" s="24" t="n">
        <f aca="false">Drivers!$C$129*(1+Drivers!$C$130)^M$36</f>
        <v>0.511977656397798</v>
      </c>
      <c r="N78" s="24" t="n">
        <f aca="false">Drivers!$C$129*(1+Drivers!$C$130)^N$36</f>
        <v>0.522217209525754</v>
      </c>
      <c r="O78" s="24" t="n">
        <f aca="false">Drivers!$C$129*(1+Drivers!$C$130)^O$36</f>
        <v>0.532661553716269</v>
      </c>
      <c r="P78" s="24" t="n">
        <f aca="false">Drivers!$C$129*(1+Drivers!$C$130)^P$36</f>
        <v>0.543314784790595</v>
      </c>
      <c r="Q78" s="24" t="n">
        <f aca="false">Drivers!$C$129*(1+Drivers!$C$130)^Q$36</f>
        <v>0.554181080486406</v>
      </c>
      <c r="R78" s="24" t="n">
        <f aca="false">Drivers!$C$129*(1+Drivers!$C$130)^R$36</f>
        <v>0.565264702096135</v>
      </c>
      <c r="S78" s="24" t="n">
        <f aca="false">Drivers!$C$129*(1+Drivers!$C$130)^S$36</f>
        <v>0.576569996138057</v>
      </c>
      <c r="T78" s="24" t="n">
        <f aca="false">Drivers!$C$129*(1+Drivers!$C$130)^T$36</f>
        <v>0.588101396060819</v>
      </c>
      <c r="U78" s="24" t="n">
        <f aca="false">Drivers!$C$129*(1+Drivers!$C$130)^U$36</f>
        <v>0.599863423982035</v>
      </c>
    </row>
    <row r="79" customFormat="false" ht="15" hidden="false" customHeight="false" outlineLevel="0" collapsed="false">
      <c r="A79" s="9" t="s">
        <v>367</v>
      </c>
      <c r="B79" s="35" t="s">
        <v>326</v>
      </c>
      <c r="C79" s="24" t="n">
        <f aca="false">Drivers!$D$131</f>
        <v>1.2</v>
      </c>
      <c r="D79" s="24" t="n">
        <f aca="false">Drivers!$E$131</f>
        <v>1.15</v>
      </c>
      <c r="E79" s="24" t="n">
        <f aca="false">Drivers!$F$131</f>
        <v>1.12</v>
      </c>
      <c r="F79" s="24" t="n">
        <f aca="false">Drivers!$G$131</f>
        <v>1.1</v>
      </c>
      <c r="G79" s="24" t="n">
        <f aca="false">Drivers!$H$131</f>
        <v>1.1</v>
      </c>
      <c r="H79" s="24" t="n">
        <f aca="false">Drivers!$I$131</f>
        <v>1.1</v>
      </c>
      <c r="I79" s="24" t="n">
        <f aca="false">H79*(1+Drivers!$C$132)</f>
        <v>1.122</v>
      </c>
      <c r="J79" s="24" t="n">
        <f aca="false">I79*(1+Drivers!$C$132)</f>
        <v>1.14444</v>
      </c>
      <c r="K79" s="24" t="n">
        <f aca="false">J79*(1+Drivers!$C$132)</f>
        <v>1.1673288</v>
      </c>
      <c r="L79" s="24" t="n">
        <f aca="false">K79*(1+Drivers!$C$132)</f>
        <v>1.190675376</v>
      </c>
      <c r="M79" s="24" t="n">
        <f aca="false">L79*(1+Drivers!$C$132)</f>
        <v>1.21448888352</v>
      </c>
      <c r="N79" s="24" t="n">
        <f aca="false">M79*(1+Drivers!$C$132)</f>
        <v>1.2387786611904</v>
      </c>
      <c r="O79" s="24" t="n">
        <f aca="false">N79*(1+Drivers!$C$132)</f>
        <v>1.26355423441421</v>
      </c>
      <c r="P79" s="24" t="n">
        <f aca="false">O79*(1+Drivers!$C$132)</f>
        <v>1.28882531910249</v>
      </c>
      <c r="Q79" s="24" t="n">
        <f aca="false">P79*(1+Drivers!$C$132)</f>
        <v>1.31460182548454</v>
      </c>
      <c r="R79" s="24" t="n">
        <f aca="false">Q79*(1+Drivers!$C$132)</f>
        <v>1.34089386199423</v>
      </c>
      <c r="S79" s="24" t="n">
        <f aca="false">R79*(1+Drivers!$C$132)</f>
        <v>1.36771173923412</v>
      </c>
      <c r="T79" s="24" t="n">
        <f aca="false">S79*(1+Drivers!$C$132)</f>
        <v>1.3950659740188</v>
      </c>
      <c r="U79" s="24" t="n">
        <f aca="false">T79*(1+Drivers!$C$132)</f>
        <v>1.42296729349918</v>
      </c>
    </row>
    <row r="80" customFormat="false" ht="15" hidden="false" customHeight="false" outlineLevel="0" collapsed="false">
      <c r="A80" s="9" t="s">
        <v>368</v>
      </c>
      <c r="B80" s="35" t="s">
        <v>326</v>
      </c>
      <c r="C80" s="24" t="n">
        <f aca="false">C79*$C$17</f>
        <v>1.2</v>
      </c>
      <c r="D80" s="24" t="n">
        <f aca="false">D79*$C$17</f>
        <v>1.15</v>
      </c>
      <c r="E80" s="24" t="n">
        <f aca="false">E79*$C$17</f>
        <v>1.12</v>
      </c>
      <c r="F80" s="24" t="n">
        <f aca="false">F79*$C$17</f>
        <v>1.1</v>
      </c>
      <c r="G80" s="24" t="n">
        <f aca="false">G79*$C$17</f>
        <v>1.1</v>
      </c>
      <c r="H80" s="24" t="n">
        <f aca="false">H79*$C$17</f>
        <v>1.1</v>
      </c>
      <c r="I80" s="24" t="n">
        <f aca="false">I79*$C$17</f>
        <v>1.122</v>
      </c>
      <c r="J80" s="24" t="n">
        <f aca="false">J79*$C$17</f>
        <v>1.14444</v>
      </c>
      <c r="K80" s="24" t="n">
        <f aca="false">K79*$C$17</f>
        <v>1.1673288</v>
      </c>
      <c r="L80" s="24" t="n">
        <f aca="false">L79*$C$17</f>
        <v>1.190675376</v>
      </c>
      <c r="M80" s="24" t="n">
        <f aca="false">M79*$C$17</f>
        <v>1.21448888352</v>
      </c>
      <c r="N80" s="24" t="n">
        <f aca="false">N79*$C$17</f>
        <v>1.2387786611904</v>
      </c>
      <c r="O80" s="24" t="n">
        <f aca="false">O79*$C$17</f>
        <v>1.26355423441421</v>
      </c>
      <c r="P80" s="24" t="n">
        <f aca="false">P79*$C$17</f>
        <v>1.28882531910249</v>
      </c>
      <c r="Q80" s="24" t="n">
        <f aca="false">Q79*$C$17</f>
        <v>1.31460182548454</v>
      </c>
      <c r="R80" s="24" t="n">
        <f aca="false">R79*$C$17</f>
        <v>1.34089386199423</v>
      </c>
      <c r="S80" s="24" t="n">
        <f aca="false">S79*$C$17</f>
        <v>1.36771173923412</v>
      </c>
      <c r="T80" s="24" t="n">
        <f aca="false">T79*$C$17</f>
        <v>1.3950659740188</v>
      </c>
      <c r="U80" s="24" t="n">
        <f aca="false">U79*$C$17</f>
        <v>1.42296729349918</v>
      </c>
    </row>
    <row r="81" customFormat="false" ht="15" hidden="false" customHeight="false" outlineLevel="0" collapsed="false">
      <c r="A81" s="3" t="s">
        <v>369</v>
      </c>
      <c r="B81" s="35" t="s">
        <v>326</v>
      </c>
      <c r="C81" s="29" t="n">
        <f aca="false">C44+Drivers!$C$85*C64+C70+C74+C73*Drivers!$C$117+C75</f>
        <v>2.54236</v>
      </c>
      <c r="D81" s="29" t="n">
        <f aca="false">D44+Drivers!$C$85*D64+D70+D74+D73*Drivers!$C$117+D75</f>
        <v>3.0522</v>
      </c>
      <c r="E81" s="29" t="n">
        <f aca="false">E44+Drivers!$C$85*E64+E70+E74+E73*Drivers!$C$117+E75</f>
        <v>3.671</v>
      </c>
      <c r="F81" s="29" t="n">
        <f aca="false">F44+Drivers!$C$85*F64+F70+F74+F73*Drivers!$C$117+F75</f>
        <v>4.2898</v>
      </c>
      <c r="G81" s="29" t="n">
        <f aca="false">G44+Drivers!$C$85*G64+G70+G74+G73*Drivers!$C$117+G75</f>
        <v>5.02564</v>
      </c>
      <c r="H81" s="29" t="n">
        <f aca="false">H44+Drivers!$C$85*H64+H70+H74+H73*Drivers!$C$117+H75</f>
        <v>5.41066</v>
      </c>
      <c r="I81" s="29" t="n">
        <f aca="false">I44+Drivers!$C$85*I64+I70+I74+I73*Drivers!$C$117+I75</f>
        <v>5.8498</v>
      </c>
      <c r="J81" s="29" t="n">
        <f aca="false">J44+Drivers!$C$85*J64+J70+J74+J73*Drivers!$C$117+J75</f>
        <v>6.17292</v>
      </c>
      <c r="K81" s="29" t="n">
        <f aca="false">K44+Drivers!$C$85*K64+K70+K74+K73*Drivers!$C$117+K75</f>
        <v>6.5523996</v>
      </c>
      <c r="L81" s="29" t="n">
        <f aca="false">L44+Drivers!$C$85*L64+L70+L74+L73*Drivers!$C$117+L75</f>
        <v>6.909903608</v>
      </c>
      <c r="M81" s="29" t="n">
        <f aca="false">M44+Drivers!$C$85*M64+M70+M74+M73*Drivers!$C$117+M75</f>
        <v>7.22842203584</v>
      </c>
      <c r="N81" s="29" t="n">
        <f aca="false">N44+Drivers!$C$85*N64+N70+N74+N73*Drivers!$C$117+N75</f>
        <v>7.4334700951232</v>
      </c>
      <c r="O81" s="29" t="n">
        <f aca="false">O44+Drivers!$C$85*O64+O70+O74+O73*Drivers!$C$117+O75</f>
        <v>7.33766319322074</v>
      </c>
      <c r="P81" s="29" t="n">
        <f aca="false">P44+Drivers!$C$85*P64+P70+P74+P73*Drivers!$C$117+P75</f>
        <v>7.39289892935632</v>
      </c>
      <c r="Q81" s="29" t="n">
        <f aca="false">Q44+Drivers!$C$85*Q64+Q70+Q74+Q73*Drivers!$C$117+Q75</f>
        <v>7.3937231307692</v>
      </c>
      <c r="R81" s="29" t="n">
        <f aca="false">R44+Drivers!$C$85*R64+R70+R74+R73*Drivers!$C$117+R75</f>
        <v>7.34422515775381</v>
      </c>
      <c r="S81" s="29" t="n">
        <f aca="false">S44+Drivers!$C$85*S64+S70+S74+S73*Drivers!$C$117+S75</f>
        <v>7.02999534951074</v>
      </c>
      <c r="T81" s="29" t="n">
        <f aca="false">T44+Drivers!$C$85*T64+T70+T74+T73*Drivers!$C$117+T75</f>
        <v>6.93307999658516</v>
      </c>
      <c r="U81" s="29" t="n">
        <f aca="false">U44+Drivers!$C$85*U64+U70+U74+U73*Drivers!$C$117+U75</f>
        <v>6.83416391409616</v>
      </c>
    </row>
    <row r="82" customFormat="false" ht="15" hidden="false" customHeight="false" outlineLevel="0" collapsed="false">
      <c r="A82" s="9" t="s">
        <v>370</v>
      </c>
      <c r="B82" s="35" t="s">
        <v>326</v>
      </c>
      <c r="C82" s="24" t="n">
        <f aca="false">Drivers!$D$134</f>
        <v>0.3</v>
      </c>
      <c r="D82" s="24" t="n">
        <f aca="false">Drivers!$E$134</f>
        <v>0.25</v>
      </c>
      <c r="E82" s="24" t="n">
        <f aca="false">Drivers!$F$134</f>
        <v>0.25</v>
      </c>
      <c r="F82" s="24" t="n">
        <f aca="false">Drivers!$G$134</f>
        <v>0.25</v>
      </c>
      <c r="G82" s="24" t="n">
        <f aca="false">Drivers!$H$134</f>
        <v>0.25</v>
      </c>
      <c r="H82" s="24" t="n">
        <f aca="false">Drivers!$I$134</f>
        <v>0.25</v>
      </c>
      <c r="I82" s="24" t="n">
        <f aca="false">Drivers!$C$135*I81</f>
        <v>0.233992</v>
      </c>
      <c r="J82" s="24" t="n">
        <f aca="false">Drivers!$C$135*J81</f>
        <v>0.2469168</v>
      </c>
      <c r="K82" s="24" t="n">
        <f aca="false">Drivers!$C$135*K81</f>
        <v>0.262095984</v>
      </c>
      <c r="L82" s="24" t="n">
        <f aca="false">Drivers!$C$135*L81</f>
        <v>0.27639614432</v>
      </c>
      <c r="M82" s="24" t="n">
        <f aca="false">Drivers!$C$135*M81</f>
        <v>0.2891368814336</v>
      </c>
      <c r="N82" s="24" t="n">
        <f aca="false">Drivers!$C$135*N81</f>
        <v>0.297338803804928</v>
      </c>
      <c r="O82" s="24" t="n">
        <f aca="false">Drivers!$C$135*O81</f>
        <v>0.293506527728829</v>
      </c>
      <c r="P82" s="24" t="n">
        <f aca="false">Drivers!$C$135*P81</f>
        <v>0.295715957174253</v>
      </c>
      <c r="Q82" s="24" t="n">
        <f aca="false">Drivers!$C$135*Q81</f>
        <v>0.295748925230768</v>
      </c>
      <c r="R82" s="24" t="n">
        <f aca="false">Drivers!$C$135*R81</f>
        <v>0.293769006310152</v>
      </c>
      <c r="S82" s="24" t="n">
        <f aca="false">Drivers!$C$135*S81</f>
        <v>0.281199813980429</v>
      </c>
      <c r="T82" s="24" t="n">
        <f aca="false">Drivers!$C$135*T81</f>
        <v>0.277323199863406</v>
      </c>
      <c r="U82" s="24" t="n">
        <f aca="false">Drivers!$C$135*U81</f>
        <v>0.273366556563846</v>
      </c>
    </row>
    <row r="83" customFormat="false" ht="15" hidden="false" customHeight="false" outlineLevel="0" collapsed="false">
      <c r="A83" s="9" t="s">
        <v>371</v>
      </c>
      <c r="B83" s="35" t="s">
        <v>326</v>
      </c>
      <c r="C83" s="24" t="n">
        <f aca="false">Drivers!$C$136</f>
        <v>0.23</v>
      </c>
      <c r="D83" s="24" t="n">
        <f aca="false">Drivers!$C$136</f>
        <v>0.23</v>
      </c>
      <c r="E83" s="24" t="n">
        <f aca="false">Drivers!$C$136</f>
        <v>0.23</v>
      </c>
      <c r="F83" s="24" t="n">
        <f aca="false">Drivers!$C$136</f>
        <v>0.23</v>
      </c>
      <c r="G83" s="24" t="n">
        <f aca="false">Drivers!$C$136</f>
        <v>0.23</v>
      </c>
      <c r="H83" s="24" t="n">
        <f aca="false">Drivers!$C$136</f>
        <v>0.23</v>
      </c>
      <c r="I83" s="24" t="n">
        <f aca="false">0.8*I82</f>
        <v>0.1871936</v>
      </c>
      <c r="J83" s="24" t="n">
        <f aca="false">0.8*J82</f>
        <v>0.19753344</v>
      </c>
      <c r="K83" s="24" t="n">
        <f aca="false">0.8*K82</f>
        <v>0.2096767872</v>
      </c>
      <c r="L83" s="24" t="n">
        <f aca="false">0.8*L82</f>
        <v>0.221116915456</v>
      </c>
      <c r="M83" s="24" t="n">
        <f aca="false">0.8*M82</f>
        <v>0.23130950514688</v>
      </c>
      <c r="N83" s="24" t="n">
        <f aca="false">0.8*N82</f>
        <v>0.237871043043942</v>
      </c>
      <c r="O83" s="24" t="n">
        <f aca="false">0.8*O82</f>
        <v>0.234805222183064</v>
      </c>
      <c r="P83" s="24" t="n">
        <f aca="false">0.8*P82</f>
        <v>0.236572765739402</v>
      </c>
      <c r="Q83" s="24" t="n">
        <f aca="false">0.8*Q82</f>
        <v>0.236599140184614</v>
      </c>
      <c r="R83" s="24" t="n">
        <f aca="false">0.8*R82</f>
        <v>0.235015205048122</v>
      </c>
      <c r="S83" s="24" t="n">
        <f aca="false">0.8*S82</f>
        <v>0.224959851184344</v>
      </c>
      <c r="T83" s="24" t="n">
        <f aca="false">0.8*T82</f>
        <v>0.221858559890725</v>
      </c>
      <c r="U83" s="24" t="n">
        <f aca="false">0.8*U82</f>
        <v>0.218693245251077</v>
      </c>
    </row>
    <row r="84" customFormat="false" ht="15" hidden="false" customHeight="false" outlineLevel="0" collapsed="false">
      <c r="A84" s="9" t="s">
        <v>372</v>
      </c>
      <c r="B84" s="35" t="s">
        <v>326</v>
      </c>
      <c r="C84" s="24" t="n">
        <f aca="false">Drivers!$C$82*(C81-Drivers!$C$35)</f>
        <v>0.050236</v>
      </c>
      <c r="D84" s="24" t="n">
        <f aca="false">Drivers!$C$82*(D81-C81)</f>
        <v>0.050984</v>
      </c>
      <c r="E84" s="24" t="n">
        <f aca="false">Drivers!$C$82*(E81-D81)</f>
        <v>0.06188</v>
      </c>
      <c r="F84" s="24" t="n">
        <f aca="false">Drivers!$C$82*(F81-E81)</f>
        <v>0.06188</v>
      </c>
      <c r="G84" s="24" t="n">
        <f aca="false">Drivers!$C$82*(G81-F81)</f>
        <v>0.073584</v>
      </c>
      <c r="H84" s="24" t="n">
        <f aca="false">Drivers!$C$82*(H81-G81)</f>
        <v>0.0385020000000001</v>
      </c>
      <c r="I84" s="24" t="n">
        <f aca="false">Drivers!$C$82*(I81-H81)</f>
        <v>0.043914</v>
      </c>
      <c r="J84" s="24" t="n">
        <f aca="false">Drivers!$C$82*(J81-I81)</f>
        <v>0.032312</v>
      </c>
      <c r="K84" s="24" t="n">
        <f aca="false">Drivers!$C$82*(K81-J81)</f>
        <v>0.0379479599999999</v>
      </c>
      <c r="L84" s="24" t="n">
        <f aca="false">Drivers!$C$82*(L81-K81)</f>
        <v>0.0357504008000001</v>
      </c>
      <c r="M84" s="24" t="n">
        <f aca="false">Drivers!$C$82*(M81-L81)</f>
        <v>0.031851842784</v>
      </c>
      <c r="N84" s="24" t="n">
        <f aca="false">Drivers!$C$82*(N81-M81)</f>
        <v>0.02050480592832</v>
      </c>
      <c r="O84" s="24" t="n">
        <f aca="false">Drivers!$C$82*(O81-N81)</f>
        <v>-0.00958069019024643</v>
      </c>
      <c r="P84" s="24" t="n">
        <f aca="false">Drivers!$C$82*(P81-O81)</f>
        <v>0.00552357361355851</v>
      </c>
      <c r="Q84" s="24" t="n">
        <f aca="false">Drivers!$C$82*(Q81-P81)</f>
        <v>8.24201412874537E-005</v>
      </c>
      <c r="R84" s="24" t="n">
        <f aca="false">Drivers!$C$82*(R81-Q81)</f>
        <v>-0.00494979730153853</v>
      </c>
      <c r="S84" s="24" t="n">
        <f aca="false">Drivers!$C$82*(S81-R81)</f>
        <v>-0.0314229808243075</v>
      </c>
      <c r="T84" s="24" t="n">
        <f aca="false">Drivers!$C$82*(T81-S81)</f>
        <v>-0.00969153529255751</v>
      </c>
      <c r="U84" s="24" t="n">
        <f aca="false">Drivers!$C$82*(U81-T81)</f>
        <v>-0.00989160824890032</v>
      </c>
    </row>
    <row r="85" customFormat="false" ht="15" hidden="false" customHeight="false" outlineLevel="0" collapsed="false">
      <c r="A85" s="3" t="s">
        <v>373</v>
      </c>
      <c r="B85" s="35" t="s">
        <v>326</v>
      </c>
      <c r="C85" s="29" t="n">
        <f aca="false">C52+C68+C72+C76-C78-C80</f>
        <v>-1.791605</v>
      </c>
      <c r="D85" s="29" t="n">
        <f aca="false">D52+D68+D72+D76-D78-D80</f>
        <v>-1.30410333333333</v>
      </c>
      <c r="E85" s="29" t="n">
        <f aca="false">E52+E68+E72+E76-E78-E80</f>
        <v>-0.895214333333334</v>
      </c>
      <c r="F85" s="29" t="n">
        <f aca="false">F52+F68+F72+F76-F78-F80</f>
        <v>-0.400980693333334</v>
      </c>
      <c r="G85" s="29" t="n">
        <f aca="false">G52+G68+G72+G76-G78-G80</f>
        <v>0.268540692799999</v>
      </c>
      <c r="H85" s="29" t="n">
        <f aca="false">H52+H68+H72+H76-H78-H80</f>
        <v>0.622514062656</v>
      </c>
      <c r="I85" s="29" t="n">
        <f aca="false">I52+I68+I72+I76-I78-I80</f>
        <v>0.90494678390912</v>
      </c>
      <c r="J85" s="29" t="n">
        <f aca="false">J52+J68+J72+J76-J78-J80</f>
        <v>1.2063902195873</v>
      </c>
      <c r="K85" s="29" t="n">
        <f aca="false">K52+K68+K72+K76-K78-K80</f>
        <v>1.42473633597905</v>
      </c>
      <c r="L85" s="29" t="n">
        <f aca="false">L52+L68+L72+L76-L78-L80</f>
        <v>1.58622365245863</v>
      </c>
      <c r="M85" s="29" t="n">
        <f aca="false">M52+M68+M72+M76-M78-M80</f>
        <v>1.7147592324726</v>
      </c>
      <c r="N85" s="29" t="n">
        <f aca="false">N52+N68+N72+N76-N78-N80</f>
        <v>1.78143867444756</v>
      </c>
      <c r="O85" s="29" t="n">
        <f aca="false">O52+O68+O72+O76-O78-O80</f>
        <v>1.6817823526155</v>
      </c>
      <c r="P85" s="29" t="n">
        <f aca="false">P52+P68+P72+P76-P78-P80</f>
        <v>1.66431550775323</v>
      </c>
      <c r="Q85" s="29" t="n">
        <f aca="false">Q52+Q68+Q72+Q76-Q78-Q80</f>
        <v>1.616019559832</v>
      </c>
      <c r="R85" s="29" t="n">
        <f aca="false">R52+R68+R72+R76-R78-R80</f>
        <v>1.53912451841387</v>
      </c>
      <c r="S85" s="29" t="n">
        <f aca="false">S52+S68+S72+S76-S78-S80</f>
        <v>1.31968557035567</v>
      </c>
      <c r="T85" s="29" t="n">
        <f aca="false">T52+T68+T72+T76-T78-T80</f>
        <v>1.21528830699476</v>
      </c>
      <c r="U85" s="29" t="n">
        <f aca="false">U52+U68+U72+U76-U78-U80</f>
        <v>1.10879473162522</v>
      </c>
    </row>
    <row r="86" customFormat="false" ht="15" hidden="false" customHeight="false" outlineLevel="0" collapsed="false">
      <c r="A86" s="9" t="s">
        <v>374</v>
      </c>
      <c r="B86" s="35" t="s">
        <v>326</v>
      </c>
      <c r="C86" s="24" t="n">
        <f aca="false">Drivers!$C$32</f>
        <v>12.5</v>
      </c>
      <c r="D86" s="24" t="n">
        <f aca="false">C89</f>
        <v>14.291605</v>
      </c>
      <c r="E86" s="24" t="n">
        <f aca="false">D89</f>
        <v>15.5957083333333</v>
      </c>
      <c r="F86" s="24" t="n">
        <f aca="false">E89</f>
        <v>16.4909226666667</v>
      </c>
      <c r="G86" s="24" t="n">
        <f aca="false">F89</f>
        <v>16.89190336</v>
      </c>
      <c r="H86" s="24" t="n">
        <f aca="false">G89</f>
        <v>16.67707080576</v>
      </c>
      <c r="I86" s="24" t="n">
        <f aca="false">H89</f>
        <v>16.1790595556352</v>
      </c>
      <c r="J86" s="24" t="n">
        <f aca="false">I89</f>
        <v>15.4551021285079</v>
      </c>
      <c r="K86" s="24" t="n">
        <f aca="false">J89</f>
        <v>14.4899899528381</v>
      </c>
      <c r="L86" s="24" t="n">
        <f aca="false">K89</f>
        <v>13.3502008840548</v>
      </c>
      <c r="M86" s="24" t="n">
        <f aca="false">L89</f>
        <v>12.0812219620879</v>
      </c>
      <c r="N86" s="24" t="n">
        <f aca="false">M89</f>
        <v>10.7094145761098</v>
      </c>
      <c r="O86" s="24" t="n">
        <f aca="false">N89</f>
        <v>9.2842636365518</v>
      </c>
      <c r="P86" s="24" t="n">
        <f aca="false">O89</f>
        <v>7.93883775445939</v>
      </c>
      <c r="Q86" s="24" t="n">
        <f aca="false">P89</f>
        <v>6.60738534825681</v>
      </c>
      <c r="R86" s="24" t="n">
        <f aca="false">Q89</f>
        <v>5.31456970039121</v>
      </c>
      <c r="S86" s="24" t="n">
        <f aca="false">R89</f>
        <v>4.08327008566012</v>
      </c>
      <c r="T86" s="24" t="n">
        <f aca="false">S89</f>
        <v>3.02752162937558</v>
      </c>
      <c r="U86" s="24" t="n">
        <f aca="false">T89</f>
        <v>2.05529098377977</v>
      </c>
    </row>
    <row r="87" customFormat="false" ht="15" hidden="false" customHeight="false" outlineLevel="0" collapsed="false">
      <c r="A87" s="9" t="s">
        <v>375</v>
      </c>
      <c r="B87" s="35" t="s">
        <v>326</v>
      </c>
      <c r="C87" s="24" t="n">
        <f aca="false">IF(C85&gt;0,MIN(C86,Drivers!$C$33*C85),0)</f>
        <v>0</v>
      </c>
      <c r="D87" s="24" t="n">
        <f aca="false">IF(D85&gt;0,MIN(D86,Drivers!$C$33*D85),0)</f>
        <v>0</v>
      </c>
      <c r="E87" s="24" t="n">
        <f aca="false">IF(E85&gt;0,MIN(E86,Drivers!$C$33*E85),0)</f>
        <v>0</v>
      </c>
      <c r="F87" s="24" t="n">
        <f aca="false">IF(F85&gt;0,MIN(F86,Drivers!$C$33*F85),0)</f>
        <v>0</v>
      </c>
      <c r="G87" s="24" t="n">
        <f aca="false">IF(G85&gt;0,MIN(G86,Drivers!$C$33*G85),0)</f>
        <v>0.21483255424</v>
      </c>
      <c r="H87" s="24" t="n">
        <f aca="false">IF(H85&gt;0,MIN(H86,Drivers!$C$33*H85),0)</f>
        <v>0.4980112501248</v>
      </c>
      <c r="I87" s="24" t="n">
        <f aca="false">IF(I85&gt;0,MIN(I86,Drivers!$C$33*I85),0)</f>
        <v>0.723957427127296</v>
      </c>
      <c r="J87" s="24" t="n">
        <f aca="false">IF(J85&gt;0,MIN(J86,Drivers!$C$33*J85),0)</f>
        <v>0.965112175669842</v>
      </c>
      <c r="K87" s="24" t="n">
        <f aca="false">IF(K85&gt;0,MIN(K86,Drivers!$C$33*K85),0)</f>
        <v>1.13978906878324</v>
      </c>
      <c r="L87" s="24" t="n">
        <f aca="false">IF(L85&gt;0,MIN(L86,Drivers!$C$33*L85),0)</f>
        <v>1.2689789219669</v>
      </c>
      <c r="M87" s="24" t="n">
        <f aca="false">IF(M85&gt;0,MIN(M86,Drivers!$C$33*M85),0)</f>
        <v>1.37180738597808</v>
      </c>
      <c r="N87" s="24" t="n">
        <f aca="false">IF(N85&gt;0,MIN(N86,Drivers!$C$33*N85),0)</f>
        <v>1.42515093955805</v>
      </c>
      <c r="O87" s="24" t="n">
        <f aca="false">IF(O85&gt;0,MIN(O86,Drivers!$C$33*O85),0)</f>
        <v>1.3454258820924</v>
      </c>
      <c r="P87" s="24" t="n">
        <f aca="false">IF(P85&gt;0,MIN(P86,Drivers!$C$33*P85),0)</f>
        <v>1.33145240620258</v>
      </c>
      <c r="Q87" s="24" t="n">
        <f aca="false">IF(Q85&gt;0,MIN(Q86,Drivers!$C$33*Q85),0)</f>
        <v>1.2928156478656</v>
      </c>
      <c r="R87" s="24" t="n">
        <f aca="false">IF(R85&gt;0,MIN(R86,Drivers!$C$33*R85),0)</f>
        <v>1.23129961473109</v>
      </c>
      <c r="S87" s="24" t="n">
        <f aca="false">IF(S85&gt;0,MIN(S86,Drivers!$C$33*S85),0)</f>
        <v>1.05574845628454</v>
      </c>
      <c r="T87" s="24" t="n">
        <f aca="false">IF(T85&gt;0,MIN(T86,Drivers!$C$33*T85),0)</f>
        <v>0.972230645595811</v>
      </c>
      <c r="U87" s="24" t="n">
        <f aca="false">IF(U85&gt;0,MIN(U86,Drivers!$C$33*U85),0)</f>
        <v>0.887035785300174</v>
      </c>
    </row>
    <row r="88" customFormat="false" ht="15" hidden="false" customHeight="false" outlineLevel="0" collapsed="false">
      <c r="A88" s="9" t="s">
        <v>376</v>
      </c>
      <c r="B88" s="35" t="s">
        <v>326</v>
      </c>
      <c r="C88" s="24" t="n">
        <f aca="false">IF(C85&gt;0,Drivers!$C$31*(C85-C87),0)</f>
        <v>0</v>
      </c>
      <c r="D88" s="24" t="n">
        <f aca="false">IF(D85&gt;0,Drivers!$C$31*(D85-D87),0)</f>
        <v>0</v>
      </c>
      <c r="E88" s="24" t="n">
        <f aca="false">IF(E85&gt;0,Drivers!$C$31*(E85-E87),0)</f>
        <v>0</v>
      </c>
      <c r="F88" s="24" t="n">
        <f aca="false">IF(F85&gt;0,Drivers!$C$31*(F85-F87),0)</f>
        <v>0</v>
      </c>
      <c r="G88" s="24" t="n">
        <f aca="false">IF(G85&gt;0,Drivers!$C$31*(G85-G87),0)</f>
        <v>0.0102045463264</v>
      </c>
      <c r="H88" s="24" t="n">
        <f aca="false">IF(H85&gt;0,Drivers!$C$31*(H85-H87),0)</f>
        <v>0.023655534380928</v>
      </c>
      <c r="I88" s="24" t="n">
        <f aca="false">IF(I85&gt;0,Drivers!$C$31*(I85-I87),0)</f>
        <v>0.0343879777885466</v>
      </c>
      <c r="J88" s="24" t="n">
        <f aca="false">IF(J85&gt;0,Drivers!$C$31*(J85-J87),0)</f>
        <v>0.0458428283443175</v>
      </c>
      <c r="K88" s="24" t="n">
        <f aca="false">IF(K85&gt;0,Drivers!$C$31*(K85-K87),0)</f>
        <v>0.0541399807672038</v>
      </c>
      <c r="L88" s="24" t="n">
        <f aca="false">IF(L85&gt;0,Drivers!$C$31*(L85-L87),0)</f>
        <v>0.0602764987934279</v>
      </c>
      <c r="M88" s="24" t="n">
        <f aca="false">IF(M85&gt;0,Drivers!$C$31*(M85-M87),0)</f>
        <v>0.0651608508339589</v>
      </c>
      <c r="N88" s="24" t="n">
        <f aca="false">IF(N85&gt;0,Drivers!$C$31*(N85-N87),0)</f>
        <v>0.0676946696290072</v>
      </c>
      <c r="O88" s="24" t="n">
        <f aca="false">IF(O85&gt;0,Drivers!$C$31*(O85-O87),0)</f>
        <v>0.0639077293993891</v>
      </c>
      <c r="P88" s="24" t="n">
        <f aca="false">IF(P85&gt;0,Drivers!$C$31*(P85-P87),0)</f>
        <v>0.0632439892946226</v>
      </c>
      <c r="Q88" s="24" t="n">
        <f aca="false">IF(Q85&gt;0,Drivers!$C$31*(Q85-Q87),0)</f>
        <v>0.0614087432736159</v>
      </c>
      <c r="R88" s="24" t="n">
        <f aca="false">IF(R85&gt;0,Drivers!$C$31*(R85-R87),0)</f>
        <v>0.058486731699727</v>
      </c>
      <c r="S88" s="24" t="n">
        <f aca="false">IF(S85&gt;0,Drivers!$C$31*(S85-S87),0)</f>
        <v>0.0501480516735156</v>
      </c>
      <c r="T88" s="24" t="n">
        <f aca="false">IF(T85&gt;0,Drivers!$C$31*(T85-T87),0)</f>
        <v>0.046180955665801</v>
      </c>
      <c r="U88" s="24" t="n">
        <f aca="false">IF(U85&gt;0,Drivers!$C$31*(U85-U87),0)</f>
        <v>0.0421341998017583</v>
      </c>
    </row>
    <row r="89" customFormat="false" ht="15" hidden="false" customHeight="false" outlineLevel="0" collapsed="false">
      <c r="A89" s="9" t="s">
        <v>377</v>
      </c>
      <c r="B89" s="35" t="s">
        <v>326</v>
      </c>
      <c r="C89" s="24" t="n">
        <f aca="false">C86-C87+IF(C85&lt;0,-C85,0)</f>
        <v>14.291605</v>
      </c>
      <c r="D89" s="24" t="n">
        <f aca="false">D86-D87+IF(D85&lt;0,-D85,0)</f>
        <v>15.5957083333333</v>
      </c>
      <c r="E89" s="24" t="n">
        <f aca="false">E86-E87+IF(E85&lt;0,-E85,0)</f>
        <v>16.4909226666667</v>
      </c>
      <c r="F89" s="24" t="n">
        <f aca="false">F86-F87+IF(F85&lt;0,-F85,0)</f>
        <v>16.89190336</v>
      </c>
      <c r="G89" s="24" t="n">
        <f aca="false">G86-G87+IF(G85&lt;0,-G85,0)</f>
        <v>16.67707080576</v>
      </c>
      <c r="H89" s="24" t="n">
        <f aca="false">H86-H87+IF(H85&lt;0,-H85,0)</f>
        <v>16.1790595556352</v>
      </c>
      <c r="I89" s="24" t="n">
        <f aca="false">I86-I87+IF(I85&lt;0,-I85,0)</f>
        <v>15.4551021285079</v>
      </c>
      <c r="J89" s="24" t="n">
        <f aca="false">J86-J87+IF(J85&lt;0,-J85,0)</f>
        <v>14.4899899528381</v>
      </c>
      <c r="K89" s="24" t="n">
        <f aca="false">K86-K87+IF(K85&lt;0,-K85,0)</f>
        <v>13.3502008840548</v>
      </c>
      <c r="L89" s="24" t="n">
        <f aca="false">L86-L87+IF(L85&lt;0,-L85,0)</f>
        <v>12.0812219620879</v>
      </c>
      <c r="M89" s="24" t="n">
        <f aca="false">M86-M87+IF(M85&lt;0,-M85,0)</f>
        <v>10.7094145761098</v>
      </c>
      <c r="N89" s="24" t="n">
        <f aca="false">N86-N87+IF(N85&lt;0,-N85,0)</f>
        <v>9.2842636365518</v>
      </c>
      <c r="O89" s="24" t="n">
        <f aca="false">O86-O87+IF(O85&lt;0,-O85,0)</f>
        <v>7.93883775445939</v>
      </c>
      <c r="P89" s="24" t="n">
        <f aca="false">P86-P87+IF(P85&lt;0,-P85,0)</f>
        <v>6.60738534825681</v>
      </c>
      <c r="Q89" s="24" t="n">
        <f aca="false">Q86-Q87+IF(Q85&lt;0,-Q85,0)</f>
        <v>5.31456970039121</v>
      </c>
      <c r="R89" s="24" t="n">
        <f aca="false">R86-R87+IF(R85&lt;0,-R85,0)</f>
        <v>4.08327008566012</v>
      </c>
      <c r="S89" s="24" t="n">
        <f aca="false">S86-S87+IF(S85&lt;0,-S85,0)</f>
        <v>3.02752162937558</v>
      </c>
      <c r="T89" s="24" t="n">
        <f aca="false">T86-T87+IF(T85&lt;0,-T85,0)</f>
        <v>2.05529098377977</v>
      </c>
      <c r="U89" s="24" t="n">
        <f aca="false">U86-U87+IF(U85&lt;0,-U85,0)</f>
        <v>1.1682551984796</v>
      </c>
    </row>
    <row r="90" customFormat="false" ht="15" hidden="false" customHeight="false" outlineLevel="0" collapsed="false">
      <c r="A90" s="3" t="s">
        <v>378</v>
      </c>
      <c r="B90" s="35" t="s">
        <v>326</v>
      </c>
      <c r="C90" s="29" t="n">
        <f aca="false">C85-C88-(C82-C83)-C84</f>
        <v>-1.911841</v>
      </c>
      <c r="D90" s="29" t="n">
        <f aca="false">D85-D88-(D82-D83)-D84</f>
        <v>-1.37508733333333</v>
      </c>
      <c r="E90" s="29" t="n">
        <f aca="false">E85-E88-(E82-E83)-E84</f>
        <v>-0.977094333333334</v>
      </c>
      <c r="F90" s="29" t="n">
        <f aca="false">F85-F88-(F82-F83)-F84</f>
        <v>-0.482860693333334</v>
      </c>
      <c r="G90" s="29" t="n">
        <f aca="false">G85-G88-(G82-G83)-G84</f>
        <v>0.164752146473599</v>
      </c>
      <c r="H90" s="29" t="n">
        <f aca="false">H85-H88-(H82-H83)-H84</f>
        <v>0.540356528275072</v>
      </c>
      <c r="I90" s="29" t="n">
        <f aca="false">I85-I88-(I82-I83)-I84</f>
        <v>0.779846406120573</v>
      </c>
      <c r="J90" s="29" t="n">
        <f aca="false">J85-J88-(J82-J83)-J84</f>
        <v>1.07885203124298</v>
      </c>
      <c r="K90" s="29" t="n">
        <f aca="false">K85-K88-(K82-K83)-K84</f>
        <v>1.28022919841184</v>
      </c>
      <c r="L90" s="29" t="n">
        <f aca="false">L85-L88-(L82-L83)-L84</f>
        <v>1.4349175240012</v>
      </c>
      <c r="M90" s="29" t="n">
        <f aca="false">M85-M88-(M82-M83)-M84</f>
        <v>1.55991916256792</v>
      </c>
      <c r="N90" s="29" t="n">
        <f aca="false">N85-N88-(N82-N83)-N84</f>
        <v>1.63377143812924</v>
      </c>
      <c r="O90" s="29" t="n">
        <f aca="false">O85-O88-(O82-O83)-O84</f>
        <v>1.56875400786059</v>
      </c>
      <c r="P90" s="29" t="n">
        <f aca="false">P85-P88-(P82-P83)-P84</f>
        <v>1.5364047534102</v>
      </c>
      <c r="Q90" s="29" t="n">
        <f aca="false">Q85-Q88-(Q82-Q83)-Q84</f>
        <v>1.49537861137094</v>
      </c>
      <c r="R90" s="29" t="n">
        <f aca="false">R85-R88-(R82-R83)-R84</f>
        <v>1.42683378275365</v>
      </c>
      <c r="S90" s="29" t="n">
        <f aca="false">S85-S88-(S82-S83)-S84</f>
        <v>1.24472053671038</v>
      </c>
      <c r="T90" s="29" t="n">
        <f aca="false">T85-T88-(T82-T83)-T84</f>
        <v>1.12333424664884</v>
      </c>
      <c r="U90" s="29" t="n">
        <f aca="false">U85-U88-(U82-U83)-U84</f>
        <v>1.02187882875959</v>
      </c>
    </row>
    <row r="91" customFormat="false" ht="15" hidden="false" customHeight="false" outlineLevel="0" collapsed="false">
      <c r="A91" s="9" t="s">
        <v>379</v>
      </c>
      <c r="B91" s="35" t="s">
        <v>380</v>
      </c>
      <c r="C91" s="33" t="n">
        <f aca="false">0.25+C$36+0.5</f>
        <v>0.75</v>
      </c>
      <c r="D91" s="33" t="n">
        <f aca="false">0.25+D$36+0.5</f>
        <v>1.75</v>
      </c>
      <c r="E91" s="33" t="n">
        <f aca="false">0.25+E$36+0.5</f>
        <v>2.75</v>
      </c>
      <c r="F91" s="33" t="n">
        <f aca="false">0.25+F$36+0.5</f>
        <v>3.75</v>
      </c>
      <c r="G91" s="33" t="n">
        <f aca="false">0.25+G$36+0.5</f>
        <v>4.75</v>
      </c>
      <c r="H91" s="33" t="n">
        <f aca="false">0.25+H$36+0.5</f>
        <v>5.75</v>
      </c>
      <c r="I91" s="33" t="n">
        <f aca="false">0.25+I$36+0.5</f>
        <v>6.75</v>
      </c>
      <c r="J91" s="33" t="n">
        <f aca="false">0.25+J$36+0.5</f>
        <v>7.75</v>
      </c>
      <c r="K91" s="33" t="n">
        <f aca="false">0.25+K$36+0.5</f>
        <v>8.75</v>
      </c>
      <c r="L91" s="33" t="n">
        <f aca="false">0.25+L$36+0.5</f>
        <v>9.75</v>
      </c>
      <c r="M91" s="33" t="n">
        <f aca="false">0.25+M$36+0.5</f>
        <v>10.75</v>
      </c>
      <c r="N91" s="33" t="n">
        <f aca="false">0.25+N$36+0.5</f>
        <v>11.75</v>
      </c>
      <c r="O91" s="33" t="n">
        <f aca="false">0.25+O$36+0.5</f>
        <v>12.75</v>
      </c>
      <c r="P91" s="33" t="n">
        <f aca="false">0.25+P$36+0.5</f>
        <v>13.75</v>
      </c>
      <c r="Q91" s="33" t="n">
        <f aca="false">0.25+Q$36+0.5</f>
        <v>14.75</v>
      </c>
      <c r="R91" s="33" t="n">
        <f aca="false">0.25+R$36+0.5</f>
        <v>15.75</v>
      </c>
      <c r="S91" s="33" t="n">
        <f aca="false">0.25+S$36+0.5</f>
        <v>16.75</v>
      </c>
      <c r="T91" s="33" t="n">
        <f aca="false">0.25+T$36+0.5</f>
        <v>17.75</v>
      </c>
      <c r="U91" s="33" t="n">
        <f aca="false">0.25+U$36+0.5</f>
        <v>18.75</v>
      </c>
    </row>
    <row r="92" customFormat="false" ht="15" hidden="false" customHeight="false" outlineLevel="0" collapsed="false">
      <c r="A92" s="9" t="s">
        <v>381</v>
      </c>
      <c r="B92" s="35" t="s">
        <v>382</v>
      </c>
      <c r="C92" s="36" t="n">
        <f aca="false">(1+$C$19)^(-C91)</f>
        <v>0.928292188409754</v>
      </c>
      <c r="D92" s="36" t="n">
        <f aca="false">(1+$C$19)^(-D91)</f>
        <v>0.840615945313551</v>
      </c>
      <c r="E92" s="36" t="n">
        <f aca="false">(1+$C$19)^(-E91)</f>
        <v>0.761220633264105</v>
      </c>
      <c r="F92" s="36" t="n">
        <f aca="false">(1+$C$19)^(-F91)</f>
        <v>0.689324126835194</v>
      </c>
      <c r="G92" s="36" t="n">
        <f aca="false">(1+$C$19)^(-G91)</f>
        <v>0.624218171543235</v>
      </c>
      <c r="H92" s="36" t="n">
        <f aca="false">(1+$C$19)^(-H91)</f>
        <v>0.565261406812673</v>
      </c>
      <c r="I92" s="36" t="n">
        <f aca="false">(1+$C$19)^(-I91)</f>
        <v>0.511873047915125</v>
      </c>
      <c r="J92" s="36" t="n">
        <f aca="false">(1+$C$19)^(-J91)</f>
        <v>0.463527164642873</v>
      </c>
      <c r="K92" s="36" t="n">
        <f aca="false">(1+$C$19)^(-K91)</f>
        <v>0.419747500355767</v>
      </c>
      <c r="L92" s="36" t="n">
        <f aca="false">(1+$C$19)^(-L91)</f>
        <v>0.38010278036382</v>
      </c>
      <c r="M92" s="36" t="n">
        <f aca="false">(1+$C$19)^(-M91)</f>
        <v>0.344202463428254</v>
      </c>
      <c r="N92" s="36" t="n">
        <f aca="false">(1+$C$19)^(-N91)</f>
        <v>0.31169289452889</v>
      </c>
      <c r="O92" s="36" t="n">
        <f aca="false">(1+$C$19)^(-O91)</f>
        <v>0.282253820998723</v>
      </c>
      <c r="P92" s="36" t="n">
        <f aca="false">(1+$C$19)^(-P91)</f>
        <v>0.255595237705989</v>
      </c>
      <c r="Q92" s="36" t="n">
        <f aca="false">(1+$C$19)^(-Q91)</f>
        <v>0.23145453020555</v>
      </c>
      <c r="R92" s="36" t="n">
        <f aca="false">(1+$C$19)^(-R91)</f>
        <v>0.209593887716698</v>
      </c>
      <c r="S92" s="36" t="n">
        <f aca="false">(1+$C$19)^(-S91)</f>
        <v>0.189797960442541</v>
      </c>
      <c r="T92" s="36" t="n">
        <f aca="false">(1+$C$19)^(-T91)</f>
        <v>0.171871738153166</v>
      </c>
      <c r="U92" s="36" t="n">
        <f aca="false">(1+$C$19)^(-U91)</f>
        <v>0.155638629134444</v>
      </c>
    </row>
    <row r="93" customFormat="false" ht="15" hidden="false" customHeight="false" outlineLevel="0" collapsed="false">
      <c r="A93" s="9" t="s">
        <v>383</v>
      </c>
      <c r="B93" s="35" t="s">
        <v>326</v>
      </c>
      <c r="C93" s="24" t="n">
        <f aca="false">C90*C92</f>
        <v>-1.77474706578149</v>
      </c>
      <c r="D93" s="24" t="n">
        <f aca="false">D90*D92</f>
        <v>-1.15592033859869</v>
      </c>
      <c r="E93" s="24" t="n">
        <f aca="false">E90*E92</f>
        <v>-0.743784367178769</v>
      </c>
      <c r="F93" s="24" t="n">
        <f aca="false">F90*F92</f>
        <v>-0.332847525815037</v>
      </c>
      <c r="G93" s="24" t="n">
        <f aca="false">G90*G92</f>
        <v>0.102841283629573</v>
      </c>
      <c r="H93" s="24" t="n">
        <f aca="false">H90*H92</f>
        <v>0.305442691353179</v>
      </c>
      <c r="I93" s="24" t="n">
        <f aca="false">I90*I92</f>
        <v>0.399182356806594</v>
      </c>
      <c r="J93" s="24" t="n">
        <f aca="false">J90*J92</f>
        <v>0.500077223111265</v>
      </c>
      <c r="K93" s="24" t="n">
        <f aca="false">K90*K92</f>
        <v>0.537373005915839</v>
      </c>
      <c r="L93" s="24" t="n">
        <f aca="false">L90*L92</f>
        <v>0.545416140465626</v>
      </c>
      <c r="M93" s="24" t="n">
        <f aca="false">M90*M92</f>
        <v>0.536928018504818</v>
      </c>
      <c r="N93" s="24" t="n">
        <f aca="false">N90*N92</f>
        <v>0.509234948549132</v>
      </c>
      <c r="O93" s="24" t="n">
        <f aca="false">O90*O92</f>
        <v>0.442786812925714</v>
      </c>
      <c r="P93" s="24" t="n">
        <f aca="false">P90*P92</f>
        <v>0.39269773816049</v>
      </c>
      <c r="Q93" s="24" t="n">
        <f aca="false">Q90*Q92</f>
        <v>0.346112153974289</v>
      </c>
      <c r="R93" s="24" t="n">
        <f aca="false">R90*R92</f>
        <v>0.29905563965286</v>
      </c>
      <c r="S93" s="24" t="n">
        <f aca="false">S90*S92</f>
        <v>0.236245419188575</v>
      </c>
      <c r="T93" s="24" t="n">
        <f aca="false">T90*T92</f>
        <v>0.193069409498513</v>
      </c>
      <c r="U93" s="24" t="n">
        <f aca="false">U90*U92</f>
        <v>0.159043820049653</v>
      </c>
    </row>
    <row r="94" customFormat="false" ht="15" hidden="false" customHeight="false" outlineLevel="0" collapsed="false">
      <c r="A94" s="9" t="s">
        <v>384</v>
      </c>
      <c r="B94" s="35" t="s">
        <v>326</v>
      </c>
      <c r="C94" s="24" t="n">
        <f aca="false">IF(C$35&lt;=2032,Drivers!$C$133*C80,C80)</f>
        <v>0.42</v>
      </c>
      <c r="D94" s="24" t="n">
        <f aca="false">IF(D$35&lt;=2032,Drivers!$C$133*D80,D80)</f>
        <v>0.4025</v>
      </c>
      <c r="E94" s="24" t="n">
        <f aca="false">IF(E$35&lt;=2032,Drivers!$C$133*E80,E80)</f>
        <v>0.392</v>
      </c>
      <c r="F94" s="24" t="n">
        <f aca="false">IF(F$35&lt;=2032,Drivers!$C$133*F80,F80)</f>
        <v>0.385</v>
      </c>
      <c r="G94" s="24" t="n">
        <f aca="false">IF(G$35&lt;=2032,Drivers!$C$133*G80,G80)</f>
        <v>0.385</v>
      </c>
      <c r="H94" s="24" t="n">
        <f aca="false">IF(H$35&lt;=2032,Drivers!$C$133*H80,H80)</f>
        <v>0.385</v>
      </c>
      <c r="I94" s="24" t="n">
        <f aca="false">IF(I$35&lt;=2032,Drivers!$C$133*I80,I80)</f>
        <v>1.122</v>
      </c>
      <c r="J94" s="24" t="n">
        <f aca="false">IF(J$35&lt;=2032,Drivers!$C$133*J80,J80)</f>
        <v>1.14444</v>
      </c>
      <c r="K94" s="24" t="n">
        <f aca="false">IF(K$35&lt;=2032,Drivers!$C$133*K80,K80)</f>
        <v>1.1673288</v>
      </c>
      <c r="L94" s="24" t="n">
        <f aca="false">IF(L$35&lt;=2032,Drivers!$C$133*L80,L80)</f>
        <v>1.190675376</v>
      </c>
      <c r="M94" s="24" t="n">
        <f aca="false">IF(M$35&lt;=2032,Drivers!$C$133*M80,M80)</f>
        <v>1.21448888352</v>
      </c>
      <c r="N94" s="24" t="n">
        <f aca="false">IF(N$35&lt;=2032,Drivers!$C$133*N80,N80)</f>
        <v>1.2387786611904</v>
      </c>
      <c r="O94" s="24" t="n">
        <f aca="false">IF(O$35&lt;=2032,Drivers!$C$133*O80,O80)</f>
        <v>1.26355423441421</v>
      </c>
      <c r="P94" s="24" t="n">
        <f aca="false">IF(P$35&lt;=2032,Drivers!$C$133*P80,P80)</f>
        <v>1.28882531910249</v>
      </c>
      <c r="Q94" s="24" t="n">
        <f aca="false">IF(Q$35&lt;=2032,Drivers!$C$133*Q80,Q80)</f>
        <v>1.31460182548454</v>
      </c>
      <c r="R94" s="24" t="n">
        <f aca="false">IF(R$35&lt;=2032,Drivers!$C$133*R80,R80)</f>
        <v>1.34089386199423</v>
      </c>
      <c r="S94" s="24" t="n">
        <f aca="false">IF(S$35&lt;=2032,Drivers!$C$133*S80,S80)</f>
        <v>1.36771173923412</v>
      </c>
      <c r="T94" s="24" t="n">
        <f aca="false">IF(T$35&lt;=2032,Drivers!$C$133*T80,T80)</f>
        <v>1.3950659740188</v>
      </c>
      <c r="U94" s="24" t="n">
        <f aca="false">IF(U$35&lt;=2032,Drivers!$C$133*U80,U80)</f>
        <v>1.42296729349918</v>
      </c>
    </row>
    <row r="96" customFormat="false" ht="15" hidden="false" customHeight="false" outlineLevel="0" collapsed="false">
      <c r="A96" s="3" t="s">
        <v>385</v>
      </c>
    </row>
    <row r="97" customFormat="false" ht="15" hidden="false" customHeight="false" outlineLevel="0" collapsed="false">
      <c r="A97" s="9" t="s">
        <v>386</v>
      </c>
      <c r="C97" s="24" t="n">
        <f aca="false">Drivers!$C$34*(1+$C$19)^(-0.125)</f>
        <v>-0.454330557454128</v>
      </c>
    </row>
    <row r="98" customFormat="false" ht="15" hidden="false" customHeight="false" outlineLevel="0" collapsed="false">
      <c r="A98" s="9" t="s">
        <v>387</v>
      </c>
      <c r="C98" s="24" t="n">
        <f aca="false">SUM(C93:U93)</f>
        <v>1.49820736441213</v>
      </c>
    </row>
    <row r="99" customFormat="false" ht="15" hidden="false" customHeight="false" outlineLevel="0" collapsed="false">
      <c r="A99" s="9" t="s">
        <v>388</v>
      </c>
      <c r="C99" s="24" t="n">
        <f aca="false">U90*(1+$C$20)/($C$19-$C$20)</f>
        <v>9.79749596126165</v>
      </c>
    </row>
    <row r="100" customFormat="false" ht="15" hidden="false" customHeight="false" outlineLevel="0" collapsed="false">
      <c r="A100" s="9" t="s">
        <v>389</v>
      </c>
      <c r="C100" s="24" t="n">
        <f aca="false">$C$99*(1+$C$19)^(-19.25)</f>
        <v>1.4510719729846</v>
      </c>
    </row>
    <row r="101" customFormat="false" ht="15" hidden="false" customHeight="false" outlineLevel="0" collapsed="false">
      <c r="A101" s="9" t="s">
        <v>390</v>
      </c>
      <c r="C101" s="24" t="n">
        <f aca="false">SUMPRODUCT(C94:U94,C92:U92)+U94*(1+$C$20)/($C$19-$C$20)*(1+$C$19)^(-19.25)</f>
        <v>8.61430357716424</v>
      </c>
    </row>
    <row r="102" customFormat="false" ht="15" hidden="false" customHeight="false" outlineLevel="0" collapsed="false">
      <c r="A102" s="9" t="s">
        <v>304</v>
      </c>
      <c r="C102" s="24" t="n">
        <f aca="false">$C$18*$C$101*(1-Drivers!$C$31)</f>
        <v>5.23318942312728</v>
      </c>
    </row>
    <row r="103" customFormat="false" ht="15" hidden="false" customHeight="false" outlineLevel="0" collapsed="false">
      <c r="A103" s="3" t="s">
        <v>391</v>
      </c>
      <c r="C103" s="29" t="n">
        <f aca="false">$C$97+$C$98+$C$100+$C$102</f>
        <v>7.72813820306988</v>
      </c>
    </row>
    <row r="104" customFormat="false" ht="15" hidden="false" customHeight="false" outlineLevel="0" collapsed="false">
      <c r="A104" s="9" t="s">
        <v>392</v>
      </c>
      <c r="C104" s="11" t="n">
        <f aca="false">IF($C$103&gt;0,$C$100/$C$103,0)</f>
        <v>0.187764754570278</v>
      </c>
    </row>
    <row r="105" customFormat="false" ht="15" hidden="false" customHeight="false" outlineLevel="0" collapsed="false">
      <c r="A105" s="9" t="s">
        <v>393</v>
      </c>
      <c r="C105" s="24" t="n">
        <f aca="false">Drivers!$C$13*(Drivers!$C$14+Drivers!$C$15*Drivers!$C$16)*(1+$C$19)^(-Drivers!$C$17)</f>
        <v>0.765190618491352</v>
      </c>
    </row>
    <row r="106" customFormat="false" ht="15" hidden="false" customHeight="false" outlineLevel="0" collapsed="false">
      <c r="A106" s="9" t="s">
        <v>394</v>
      </c>
      <c r="C106" s="24" t="n">
        <f aca="false">Drivers!$C$7+Drivers!$C$8+Drivers!$C$12+$C$105+$C$21-Drivers!$C$18</f>
        <v>4.85219061849135</v>
      </c>
    </row>
    <row r="107" customFormat="false" ht="15" hidden="false" customHeight="false" outlineLevel="0" collapsed="false">
      <c r="A107" s="3" t="s">
        <v>395</v>
      </c>
      <c r="C107" s="29" t="n">
        <f aca="false">$C$103+Drivers!$C$6-$C$106</f>
        <v>10.9159475845785</v>
      </c>
    </row>
    <row r="108" customFormat="false" ht="15" hidden="false" customHeight="false" outlineLevel="0" collapsed="false">
      <c r="A108" s="9" t="s">
        <v>396</v>
      </c>
      <c r="C108" s="13" t="n">
        <f aca="false">IF(($C$107)*1000/(Drivers!$C$19+Drivers!$C$22)&lt;=Drivers!$C$21,($C$107)*1000/(Drivers!$C$19+Drivers!$C$22),IF((($C$107)*1000+Drivers!$C$20*Drivers!$C$21)/(Drivers!$C$19+Drivers!$C$22+Drivers!$C$20)&lt;=Drivers!$C$10,(($C$107)*1000+Drivers!$C$20*Drivers!$C$21)/(Drivers!$C$19+Drivers!$C$22+Drivers!$C$20),(($C$107)*1000+Drivers!$C$20*Drivers!$C$21+Drivers!$C$11*Drivers!$C$10)/(Drivers!$C$19+Drivers!$C$22+Drivers!$C$20+Drivers!$C$11)))</f>
        <v>26.4757399577457</v>
      </c>
    </row>
    <row r="109" customFormat="false" ht="15" hidden="false" customHeight="false" outlineLevel="0" collapsed="false">
      <c r="A109" s="3" t="s">
        <v>397</v>
      </c>
      <c r="C109" s="30" t="n">
        <f aca="false">MAX($C$108,Drivers!$C$141)</f>
        <v>26.4757399577457</v>
      </c>
    </row>
    <row r="110" customFormat="false" ht="15" hidden="false" customHeight="false" outlineLevel="0" collapsed="false">
      <c r="A110" s="9" t="s">
        <v>398</v>
      </c>
      <c r="C110" s="33" t="n">
        <f aca="false">($C$107)*1000/$C$108</f>
        <v>412.3</v>
      </c>
    </row>
    <row r="111" customFormat="false" ht="15" hidden="false" customHeight="false" outlineLevel="0" collapsed="false">
      <c r="A111" s="9" t="s">
        <v>399</v>
      </c>
      <c r="C111" s="11" t="n">
        <f aca="false">$C$109/Drivers!$C$5-1</f>
        <v>-0.866956080614344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5" topLeftCell="C36" activePane="bottomRight" state="frozen"/>
      <selection pane="topLeft" activeCell="A1" activeCellId="0" sqref="A1"/>
      <selection pane="topRight" activeCell="C1" activeCellId="0" sqref="C1"/>
      <selection pane="bottomLeft" activeCell="A36" activeCellId="0" sqref="A3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6"/>
    <col collapsed="false" customWidth="true" hidden="false" outlineLevel="0" max="21" min="3" style="0" width="9"/>
  </cols>
  <sheetData>
    <row r="1" customFormat="false" ht="17.35" hidden="false" customHeight="false" outlineLevel="0" collapsed="false">
      <c r="A1" s="1" t="s">
        <v>402</v>
      </c>
    </row>
    <row r="2" customFormat="false" ht="15" hidden="false" customHeight="false" outlineLevel="0" collapsed="false">
      <c r="A2" s="3" t="s">
        <v>317</v>
      </c>
      <c r="C2" s="28" t="n">
        <v>4</v>
      </c>
    </row>
    <row r="4" customFormat="false" ht="15" hidden="false" customHeight="false" outlineLevel="0" collapsed="false">
      <c r="A4" s="3" t="s">
        <v>318</v>
      </c>
    </row>
    <row r="5" customFormat="false" ht="15" hidden="false" customHeight="false" outlineLevel="0" collapsed="false">
      <c r="A5" s="9" t="s">
        <v>149</v>
      </c>
      <c r="C5" s="22" t="n">
        <f aca="false">INDEX(Drivers!$D$39:$H$39,$C$2)</f>
        <v>1.1</v>
      </c>
    </row>
    <row r="6" customFormat="false" ht="15" hidden="false" customHeight="false" outlineLevel="0" collapsed="false">
      <c r="A6" s="9" t="s">
        <v>150</v>
      </c>
      <c r="C6" s="22" t="n">
        <f aca="false">INDEX(Drivers!$D$40:$H$40,$C$2)</f>
        <v>1.6</v>
      </c>
    </row>
    <row r="7" customFormat="false" ht="15" hidden="false" customHeight="false" outlineLevel="0" collapsed="false">
      <c r="A7" s="9" t="s">
        <v>151</v>
      </c>
      <c r="C7" s="22" t="n">
        <f aca="false">INDEX(Drivers!$D$41:$H$41,$C$2)</f>
        <v>1.6</v>
      </c>
    </row>
    <row r="8" customFormat="false" ht="15" hidden="false" customHeight="false" outlineLevel="0" collapsed="false">
      <c r="A8" s="9" t="s">
        <v>152</v>
      </c>
      <c r="C8" s="6" t="n">
        <f aca="false">INDEX(Drivers!$D$42:$H$42,$C$2)</f>
        <v>0.45</v>
      </c>
    </row>
    <row r="9" customFormat="false" ht="15" hidden="false" customHeight="false" outlineLevel="0" collapsed="false">
      <c r="A9" s="9" t="s">
        <v>153</v>
      </c>
      <c r="C9" s="6" t="n">
        <f aca="false">INDEX(Drivers!$D$43:$H$43,$C$2)</f>
        <v>0.02</v>
      </c>
    </row>
    <row r="10" customFormat="false" ht="15" hidden="false" customHeight="false" outlineLevel="0" collapsed="false">
      <c r="A10" s="9" t="s">
        <v>154</v>
      </c>
      <c r="C10" s="6" t="n">
        <f aca="false">INDEX(Drivers!$D$44:$H$44,$C$2)</f>
        <v>0.93</v>
      </c>
    </row>
    <row r="11" customFormat="false" ht="15" hidden="false" customHeight="false" outlineLevel="0" collapsed="false">
      <c r="A11" s="9" t="s">
        <v>155</v>
      </c>
      <c r="C11" s="22" t="n">
        <f aca="false">INDEX(Drivers!$D$45:$H$45,$C$2)</f>
        <v>5</v>
      </c>
    </row>
    <row r="12" customFormat="false" ht="15" hidden="false" customHeight="false" outlineLevel="0" collapsed="false">
      <c r="A12" s="9" t="s">
        <v>156</v>
      </c>
      <c r="C12" s="31" t="n">
        <f aca="false">INDEX(Drivers!$D$46:$H$46,$C$2)</f>
        <v>2027</v>
      </c>
    </row>
    <row r="13" customFormat="false" ht="15" hidden="false" customHeight="false" outlineLevel="0" collapsed="false">
      <c r="A13" s="9" t="s">
        <v>157</v>
      </c>
      <c r="C13" s="22" t="n">
        <f aca="false">INDEX(Drivers!$D$47:$H$47,$C$2)</f>
        <v>1.33</v>
      </c>
    </row>
    <row r="14" customFormat="false" ht="15" hidden="false" customHeight="false" outlineLevel="0" collapsed="false">
      <c r="A14" s="9" t="s">
        <v>158</v>
      </c>
      <c r="C14" s="22" t="n">
        <f aca="false">INDEX(Drivers!$D$48:$H$48,$C$2)</f>
        <v>1.2</v>
      </c>
    </row>
    <row r="15" customFormat="false" ht="15" hidden="false" customHeight="false" outlineLevel="0" collapsed="false">
      <c r="A15" s="9" t="s">
        <v>159</v>
      </c>
      <c r="C15" s="22" t="n">
        <f aca="false">INDEX(Drivers!$D$49:$H$49,$C$2)</f>
        <v>1.4</v>
      </c>
    </row>
    <row r="16" customFormat="false" ht="15" hidden="false" customHeight="false" outlineLevel="0" collapsed="false">
      <c r="A16" s="9" t="s">
        <v>160</v>
      </c>
      <c r="C16" s="6" t="n">
        <f aca="false">INDEX(Drivers!$D$50:$H$50,$C$2)</f>
        <v>0.55</v>
      </c>
    </row>
    <row r="17" customFormat="false" ht="15" hidden="false" customHeight="false" outlineLevel="0" collapsed="false">
      <c r="A17" s="9" t="s">
        <v>161</v>
      </c>
      <c r="C17" s="22" t="n">
        <f aca="false">INDEX(Drivers!$D$51:$H$51,$C$2)</f>
        <v>1.05</v>
      </c>
    </row>
    <row r="18" customFormat="false" ht="15" hidden="false" customHeight="false" outlineLevel="0" collapsed="false">
      <c r="A18" s="9" t="s">
        <v>162</v>
      </c>
      <c r="C18" s="22" t="n">
        <f aca="false">INDEX(Drivers!$D$52:$H$52,$C$2)</f>
        <v>1</v>
      </c>
    </row>
    <row r="19" customFormat="false" ht="15" hidden="false" customHeight="false" outlineLevel="0" collapsed="false">
      <c r="A19" s="9" t="s">
        <v>163</v>
      </c>
      <c r="C19" s="6" t="n">
        <f aca="false">INDEX(Drivers!$D$53:$H$53,$C$2)</f>
        <v>0.1043</v>
      </c>
    </row>
    <row r="20" customFormat="false" ht="15" hidden="false" customHeight="false" outlineLevel="0" collapsed="false">
      <c r="A20" s="9" t="s">
        <v>164</v>
      </c>
      <c r="C20" s="6" t="n">
        <f aca="false">INDEX(Drivers!$D$54:$H$54,$C$2)</f>
        <v>0.01</v>
      </c>
    </row>
    <row r="21" customFormat="false" ht="15" hidden="false" customHeight="false" outlineLevel="0" collapsed="false">
      <c r="A21" s="9" t="s">
        <v>165</v>
      </c>
      <c r="C21" s="22" t="n">
        <f aca="false">INDEX(Drivers!$D$55:$H$55,$C$2)</f>
        <v>0.3</v>
      </c>
    </row>
    <row r="22" customFormat="false" ht="15" hidden="false" customHeight="false" outlineLevel="0" collapsed="false">
      <c r="A22" s="3" t="s">
        <v>319</v>
      </c>
    </row>
    <row r="23" customFormat="false" ht="15" hidden="false" customHeight="false" outlineLevel="0" collapsed="false">
      <c r="A23" s="8" t="s">
        <v>215</v>
      </c>
      <c r="B23" s="8"/>
      <c r="C23" s="8" t="s">
        <v>217</v>
      </c>
      <c r="D23" s="8" t="s">
        <v>320</v>
      </c>
      <c r="E23" s="8" t="s">
        <v>219</v>
      </c>
    </row>
    <row r="24" customFormat="false" ht="15" hidden="false" customHeight="false" outlineLevel="0" collapsed="false">
      <c r="A24" s="5" t="str">
        <f aca="false">Drivers!$B$95</f>
        <v>Adjuvant melanoma IIB-IV (INTerpath-001)</v>
      </c>
      <c r="C24" s="32" t="n">
        <f aca="false">$C$12</f>
        <v>2027</v>
      </c>
      <c r="D24" s="33" t="n">
        <f aca="false">$C$11</f>
        <v>5</v>
      </c>
      <c r="E24" s="11" t="n">
        <f aca="false">$C$10</f>
        <v>0.93</v>
      </c>
    </row>
    <row r="25" customFormat="false" ht="15" hidden="false" customHeight="false" outlineLevel="0" collapsed="false">
      <c r="A25" s="5" t="str">
        <f aca="false">Drivers!$B$96</f>
        <v>Adjuvant NSCLC II-IIIB (INTerpath-002)</v>
      </c>
      <c r="C25" s="31" t="n">
        <f aca="false">Drivers!$D$96</f>
        <v>2031</v>
      </c>
      <c r="D25" s="33" t="n">
        <f aca="false">Drivers!$E$96*$C$14</f>
        <v>4.8</v>
      </c>
      <c r="E25" s="11" t="n">
        <f aca="false">MIN(Drivers!$F$96*$C$13,IF($C$13&gt;=10,1,0.95))</f>
        <v>0.5985</v>
      </c>
    </row>
    <row r="26" customFormat="false" ht="15" hidden="false" customHeight="false" outlineLevel="0" collapsed="false">
      <c r="A26" s="5" t="str">
        <f aca="false">Drivers!$B$97</f>
        <v>Post-neoadjuvant non-pCR NSCLC (INTerpath-009)</v>
      </c>
      <c r="C26" s="31" t="n">
        <f aca="false">Drivers!$D$97</f>
        <v>2034</v>
      </c>
      <c r="D26" s="33" t="n">
        <f aca="false">Drivers!$E$97*$C$14</f>
        <v>1.8</v>
      </c>
      <c r="E26" s="11" t="n">
        <f aca="false">MIN(Drivers!$F$97*$C$13,IF($C$13&gt;=10,1,0.95))</f>
        <v>0.532</v>
      </c>
    </row>
    <row r="27" customFormat="false" ht="15" hidden="false" customHeight="false" outlineLevel="0" collapsed="false">
      <c r="A27" s="5" t="str">
        <f aca="false">Drivers!$B$98</f>
        <v>Resected stage I NSCLC (INTerpath-014)</v>
      </c>
      <c r="C27" s="31" t="n">
        <f aca="false">Drivers!$D$98</f>
        <v>2035</v>
      </c>
      <c r="D27" s="33" t="n">
        <f aca="false">Drivers!$E$98*$C$14</f>
        <v>3</v>
      </c>
      <c r="E27" s="11" t="n">
        <f aca="false">MIN(Drivers!$F$98*$C$13,IF($C$13&gt;=10,1,0.95))</f>
        <v>0.4655</v>
      </c>
    </row>
    <row r="28" customFormat="false" ht="15" hidden="false" customHeight="false" outlineLevel="0" collapsed="false">
      <c r="A28" s="5" t="str">
        <f aca="false">Drivers!$B$99</f>
        <v>Adjuvant RCC (INTerpath-004)</v>
      </c>
      <c r="C28" s="31" t="n">
        <f aca="false">Drivers!$D$99</f>
        <v>2031</v>
      </c>
      <c r="D28" s="33" t="n">
        <f aca="false">Drivers!$E$99*$C$14</f>
        <v>1.44</v>
      </c>
      <c r="E28" s="11" t="n">
        <f aca="false">MIN(Drivers!$F$99*$C$13,IF($C$13&gt;=10,1,0.95))</f>
        <v>0.3325</v>
      </c>
    </row>
    <row r="29" customFormat="false" ht="15" hidden="false" customHeight="false" outlineLevel="0" collapsed="false">
      <c r="A29" s="5" t="str">
        <f aca="false">Drivers!$B$100</f>
        <v>MIBC adjuvant (INTerpath-005)</v>
      </c>
      <c r="C29" s="31" t="n">
        <f aca="false">Drivers!$D$100</f>
        <v>2033</v>
      </c>
      <c r="D29" s="33" t="n">
        <f aca="false">Drivers!$E$100*$C$14</f>
        <v>1.2</v>
      </c>
      <c r="E29" s="11" t="n">
        <f aca="false">MIN(Drivers!$F$100*$C$13,IF($C$13&gt;=10,1,0.95))</f>
        <v>0.266</v>
      </c>
    </row>
    <row r="30" customFormat="false" ht="15" hidden="false" customHeight="false" outlineLevel="0" collapsed="false">
      <c r="A30" s="5" t="str">
        <f aca="false">Drivers!$B$101</f>
        <v>NMIBC + BCG (INTerpath-011)</v>
      </c>
      <c r="C30" s="31" t="n">
        <f aca="false">Drivers!$D$101</f>
        <v>2034</v>
      </c>
      <c r="D30" s="33" t="n">
        <f aca="false">Drivers!$E$101*$C$14</f>
        <v>1.2</v>
      </c>
      <c r="E30" s="11" t="n">
        <f aca="false">MIN(Drivers!$F$101*$C$13,IF($C$13&gt;=10,1,0.95))</f>
        <v>0.1995</v>
      </c>
    </row>
    <row r="31" customFormat="false" ht="15" hidden="false" customHeight="false" outlineLevel="0" collapsed="false">
      <c r="A31" s="5" t="str">
        <f aca="false">Drivers!$B$102</f>
        <v>1L advanced melanoma (INTerpath-012)</v>
      </c>
      <c r="C31" s="31" t="n">
        <f aca="false">Drivers!$D$102</f>
        <v>2031</v>
      </c>
      <c r="D31" s="33" t="n">
        <f aca="false">Drivers!$E$102*$C$14</f>
        <v>0.96</v>
      </c>
      <c r="E31" s="11" t="n">
        <f aca="false">MIN(Drivers!$F$102*$C$13,IF($C$13&gt;=10,1,0.95))</f>
        <v>0.266</v>
      </c>
    </row>
    <row r="32" customFormat="false" ht="15" hidden="false" customHeight="false" outlineLevel="0" collapsed="false">
      <c r="A32" s="5" t="str">
        <f aca="false">Drivers!$B$103</f>
        <v>1L metastatic squamous NSCLC (INTerpath-013)</v>
      </c>
      <c r="C32" s="31" t="n">
        <f aca="false">Drivers!$D$103</f>
        <v>2032</v>
      </c>
      <c r="D32" s="33" t="n">
        <f aca="false">Drivers!$E$103*$C$14</f>
        <v>1.44</v>
      </c>
      <c r="E32" s="11" t="n">
        <f aca="false">MIN(Drivers!$F$103*$C$13,IF($C$13&gt;=10,1,0.95))</f>
        <v>0.1995</v>
      </c>
    </row>
    <row r="33" customFormat="false" ht="15" hidden="false" customHeight="false" outlineLevel="0" collapsed="false">
      <c r="A33" s="5" t="str">
        <f aca="false">Drivers!$B$104</f>
        <v>Other solid tumours - future INT indications (pre-Ph2)</v>
      </c>
      <c r="C33" s="31" t="n">
        <f aca="false">Drivers!$D$104</f>
        <v>2035</v>
      </c>
      <c r="D33" s="33" t="n">
        <f aca="false">Drivers!$E$104*$C$14</f>
        <v>7.2</v>
      </c>
      <c r="E33" s="11" t="n">
        <f aca="false">MIN(Drivers!$F$104*$C$13,IF($C$13&gt;=10,1,0.95))</f>
        <v>0.133</v>
      </c>
    </row>
    <row r="35" customFormat="false" ht="15" hidden="false" customHeight="false" outlineLevel="0" collapsed="false">
      <c r="A35" s="3" t="s">
        <v>321</v>
      </c>
      <c r="B35" s="3" t="s">
        <v>322</v>
      </c>
      <c r="C35" s="34" t="n">
        <v>2027</v>
      </c>
      <c r="D35" s="34" t="n">
        <v>2028</v>
      </c>
      <c r="E35" s="34" t="n">
        <v>2029</v>
      </c>
      <c r="F35" s="34" t="n">
        <v>2030</v>
      </c>
      <c r="G35" s="34" t="n">
        <v>2031</v>
      </c>
      <c r="H35" s="34" t="n">
        <v>2032</v>
      </c>
      <c r="I35" s="34" t="n">
        <v>2033</v>
      </c>
      <c r="J35" s="34" t="n">
        <v>2034</v>
      </c>
      <c r="K35" s="34" t="n">
        <v>2035</v>
      </c>
      <c r="L35" s="34" t="n">
        <v>2036</v>
      </c>
      <c r="M35" s="34" t="n">
        <v>2037</v>
      </c>
      <c r="N35" s="34" t="n">
        <v>2038</v>
      </c>
      <c r="O35" s="34" t="n">
        <v>2039</v>
      </c>
      <c r="P35" s="34" t="n">
        <v>2040</v>
      </c>
      <c r="Q35" s="34" t="n">
        <v>2041</v>
      </c>
      <c r="R35" s="34" t="n">
        <v>2042</v>
      </c>
      <c r="S35" s="34" t="n">
        <v>2043</v>
      </c>
      <c r="T35" s="34" t="n">
        <v>2044</v>
      </c>
      <c r="U35" s="34" t="n">
        <v>2045</v>
      </c>
    </row>
    <row r="36" customFormat="false" ht="15" hidden="false" customHeight="false" outlineLevel="0" collapsed="false">
      <c r="A36" s="9" t="s">
        <v>323</v>
      </c>
      <c r="C36" s="32" t="n">
        <v>0</v>
      </c>
      <c r="D36" s="32" t="n">
        <v>1</v>
      </c>
      <c r="E36" s="32" t="n">
        <v>2</v>
      </c>
      <c r="F36" s="32" t="n">
        <v>3</v>
      </c>
      <c r="G36" s="32" t="n">
        <v>4</v>
      </c>
      <c r="H36" s="32" t="n">
        <v>5</v>
      </c>
      <c r="I36" s="32" t="n">
        <v>6</v>
      </c>
      <c r="J36" s="32" t="n">
        <v>7</v>
      </c>
      <c r="K36" s="32" t="n">
        <v>8</v>
      </c>
      <c r="L36" s="32" t="n">
        <v>9</v>
      </c>
      <c r="M36" s="32" t="n">
        <v>10</v>
      </c>
      <c r="N36" s="32" t="n">
        <v>11</v>
      </c>
      <c r="O36" s="32" t="n">
        <v>12</v>
      </c>
      <c r="P36" s="32" t="n">
        <v>13</v>
      </c>
      <c r="Q36" s="32" t="n">
        <v>14</v>
      </c>
      <c r="R36" s="32" t="n">
        <v>15</v>
      </c>
      <c r="S36" s="32" t="n">
        <v>16</v>
      </c>
      <c r="T36" s="32" t="n">
        <v>17</v>
      </c>
      <c r="U36" s="32" t="n">
        <v>18</v>
      </c>
    </row>
    <row r="37" customFormat="false" ht="15" hidden="false" customHeight="false" outlineLevel="0" collapsed="false">
      <c r="A37" s="3" t="s">
        <v>324</v>
      </c>
    </row>
    <row r="38" customFormat="false" ht="15" hidden="false" customHeight="false" outlineLevel="0" collapsed="false">
      <c r="A38" s="9" t="s">
        <v>325</v>
      </c>
      <c r="B38" s="35" t="s">
        <v>326</v>
      </c>
      <c r="C38" s="24" t="n">
        <f aca="false">Drivers!$D$60*$C$5</f>
        <v>2.035</v>
      </c>
      <c r="D38" s="24" t="n">
        <f aca="false">Drivers!$E$60*$C$5</f>
        <v>1.87</v>
      </c>
      <c r="E38" s="24" t="n">
        <f aca="false">Drivers!$F$60*$C$5</f>
        <v>1.705</v>
      </c>
      <c r="F38" s="24" t="n">
        <f aca="false">Drivers!$G$60*$C$5</f>
        <v>1.595</v>
      </c>
      <c r="G38" s="24" t="n">
        <f aca="false">Drivers!$H$60*$C$5</f>
        <v>1.518</v>
      </c>
      <c r="H38" s="24" t="n">
        <f aca="false">Drivers!$I$60*$C$5</f>
        <v>1.43</v>
      </c>
      <c r="I38" s="24" t="n">
        <f aca="false">H38*(1+Drivers!$C$61)</f>
        <v>1.4014</v>
      </c>
      <c r="J38" s="24" t="n">
        <f aca="false">I38*(1+Drivers!$C$61)</f>
        <v>1.373372</v>
      </c>
      <c r="K38" s="24" t="n">
        <f aca="false">J38*(1+Drivers!$C$61)</f>
        <v>1.34590456</v>
      </c>
      <c r="L38" s="24" t="n">
        <f aca="false">K38*(1+Drivers!$C$61)</f>
        <v>1.3189864688</v>
      </c>
      <c r="M38" s="24" t="n">
        <f aca="false">L38*(1+Drivers!$C$61)</f>
        <v>1.292606739424</v>
      </c>
      <c r="N38" s="24" t="n">
        <f aca="false">M38*(1+Drivers!$C$61)</f>
        <v>1.26675460463552</v>
      </c>
      <c r="O38" s="24" t="n">
        <f aca="false">N38*(1+Drivers!$C$61)</f>
        <v>1.24141951254281</v>
      </c>
      <c r="P38" s="24" t="n">
        <f aca="false">O38*(1+Drivers!$C$61)</f>
        <v>1.21659112229195</v>
      </c>
      <c r="Q38" s="24" t="n">
        <f aca="false">P38*(1+Drivers!$C$61)</f>
        <v>1.19225929984611</v>
      </c>
      <c r="R38" s="24" t="n">
        <f aca="false">Q38*(1+Drivers!$C$61)</f>
        <v>1.16841411384919</v>
      </c>
      <c r="S38" s="24" t="n">
        <f aca="false">R38*(1+Drivers!$C$61)</f>
        <v>1.14504583157221</v>
      </c>
      <c r="T38" s="24" t="n">
        <f aca="false">S38*(1+Drivers!$C$61)</f>
        <v>1.12214491494076</v>
      </c>
      <c r="U38" s="24" t="n">
        <f aca="false">T38*(1+Drivers!$C$61)</f>
        <v>1.09970201664195</v>
      </c>
    </row>
    <row r="39" customFormat="false" ht="15" hidden="false" customHeight="false" outlineLevel="0" collapsed="false">
      <c r="A39" s="9" t="s">
        <v>327</v>
      </c>
      <c r="B39" s="35" t="s">
        <v>326</v>
      </c>
      <c r="C39" s="24" t="n">
        <f aca="false">Drivers!$C$62*IF((C$35-Drivers!$C$63)&lt;0,0,MIN(((C$35-Drivers!$C$63)+1)/Drivers!$C$64,1))*$C$6</f>
        <v>0.256</v>
      </c>
      <c r="D39" s="24" t="n">
        <f aca="false">Drivers!$C$62*IF((D$35-Drivers!$C$63)&lt;0,0,MIN(((D$35-Drivers!$C$63)+1)/Drivers!$C$64,1))*$C$6</f>
        <v>0.512</v>
      </c>
      <c r="E39" s="24" t="n">
        <f aca="false">Drivers!$C$62*IF((E$35-Drivers!$C$63)&lt;0,0,MIN(((E$35-Drivers!$C$63)+1)/Drivers!$C$64,1))*$C$6</f>
        <v>0.768</v>
      </c>
      <c r="F39" s="24" t="n">
        <f aca="false">Drivers!$C$62*IF((F$35-Drivers!$C$63)&lt;0,0,MIN(((F$35-Drivers!$C$63)+1)/Drivers!$C$64,1))*$C$6</f>
        <v>1.024</v>
      </c>
      <c r="G39" s="24" t="n">
        <f aca="false">Drivers!$C$62*IF((G$35-Drivers!$C$63)&lt;0,0,MIN(((G$35-Drivers!$C$63)+1)/Drivers!$C$64,1))*$C$6</f>
        <v>1.28</v>
      </c>
      <c r="H39" s="24" t="n">
        <f aca="false">Drivers!$C$62*IF((H$35-Drivers!$C$63)&lt;0,0,MIN(((H$35-Drivers!$C$63)+1)/Drivers!$C$64,1))*$C$6</f>
        <v>1.28</v>
      </c>
      <c r="I39" s="24" t="n">
        <f aca="false">Drivers!$C$62*IF((I$35-Drivers!$C$63)&lt;0,0,MIN(((I$35-Drivers!$C$63)+1)/Drivers!$C$64,1))*$C$6</f>
        <v>1.28</v>
      </c>
      <c r="J39" s="24" t="n">
        <f aca="false">Drivers!$C$62*IF((J$35-Drivers!$C$63)&lt;0,0,MIN(((J$35-Drivers!$C$63)+1)/Drivers!$C$64,1))*$C$6</f>
        <v>1.28</v>
      </c>
      <c r="K39" s="24" t="n">
        <f aca="false">Drivers!$C$62*IF((K$35-Drivers!$C$63)&lt;0,0,MIN(((K$35-Drivers!$C$63)+1)/Drivers!$C$64,1))*$C$6</f>
        <v>1.28</v>
      </c>
      <c r="L39" s="24" t="n">
        <f aca="false">Drivers!$C$62*IF((L$35-Drivers!$C$63)&lt;0,0,MIN(((L$35-Drivers!$C$63)+1)/Drivers!$C$64,1))*$C$6</f>
        <v>1.28</v>
      </c>
      <c r="M39" s="24" t="n">
        <f aca="false">Drivers!$C$62*IF((M$35-Drivers!$C$63)&lt;0,0,MIN(((M$35-Drivers!$C$63)+1)/Drivers!$C$64,1))*$C$6</f>
        <v>1.28</v>
      </c>
      <c r="N39" s="24" t="n">
        <f aca="false">Drivers!$C$62*IF((N$35-Drivers!$C$63)&lt;0,0,MIN(((N$35-Drivers!$C$63)+1)/Drivers!$C$64,1))*$C$6</f>
        <v>1.28</v>
      </c>
      <c r="O39" s="24" t="n">
        <f aca="false">Drivers!$C$62*IF((O$35-Drivers!$C$63)&lt;0,0,MIN(((O$35-Drivers!$C$63)+1)/Drivers!$C$64,1))*$C$6</f>
        <v>1.28</v>
      </c>
      <c r="P39" s="24" t="n">
        <f aca="false">Drivers!$C$62*IF((P$35-Drivers!$C$63)&lt;0,0,MIN(((P$35-Drivers!$C$63)+1)/Drivers!$C$64,1))*$C$6</f>
        <v>1.28</v>
      </c>
      <c r="Q39" s="24" t="n">
        <f aca="false">Drivers!$C$62*IF((Q$35-Drivers!$C$63)&lt;0,0,MIN(((Q$35-Drivers!$C$63)+1)/Drivers!$C$64,1))*$C$6</f>
        <v>1.28</v>
      </c>
      <c r="R39" s="24" t="n">
        <f aca="false">Drivers!$C$62*IF((R$35-Drivers!$C$63)&lt;0,0,MIN(((R$35-Drivers!$C$63)+1)/Drivers!$C$64,1))*$C$6</f>
        <v>1.28</v>
      </c>
      <c r="S39" s="24" t="n">
        <f aca="false">Drivers!$C$62*IF((S$35-Drivers!$C$63)&lt;0,0,MIN(((S$35-Drivers!$C$63)+1)/Drivers!$C$64,1))*$C$6</f>
        <v>1.28</v>
      </c>
      <c r="T39" s="24" t="n">
        <f aca="false">Drivers!$C$62*IF((T$35-Drivers!$C$63)&lt;0,0,MIN(((T$35-Drivers!$C$63)+1)/Drivers!$C$64,1))*$C$6</f>
        <v>1.28</v>
      </c>
      <c r="U39" s="24" t="n">
        <f aca="false">Drivers!$C$62*IF((U$35-Drivers!$C$63)&lt;0,0,MIN(((U$35-Drivers!$C$63)+1)/Drivers!$C$64,1))*$C$6</f>
        <v>1.28</v>
      </c>
    </row>
    <row r="40" customFormat="false" ht="15" hidden="false" customHeight="false" outlineLevel="0" collapsed="false">
      <c r="A40" s="9" t="s">
        <v>328</v>
      </c>
      <c r="B40" s="35" t="s">
        <v>326</v>
      </c>
      <c r="C40" s="24" t="n">
        <f aca="false">Drivers!$C$65*IF((C$35-Drivers!$C$66)&lt;0,0,MIN(((C$35-Drivers!$C$66)+1)/Drivers!$C$67,1))*$C$7*((1-Drivers!$C$69)+Drivers!$C$69*Drivers!$C$68)</f>
        <v>0.37408</v>
      </c>
      <c r="D40" s="24" t="n">
        <f aca="false">Drivers!$C$65*IF((D$35-Drivers!$C$66)&lt;0,0,MIN(((D$35-Drivers!$C$66)+1)/Drivers!$C$67,1))*$C$7*((1-Drivers!$C$69)+Drivers!$C$69*Drivers!$C$68)</f>
        <v>0.74816</v>
      </c>
      <c r="E40" s="24" t="n">
        <f aca="false">Drivers!$C$65*IF((E$35-Drivers!$C$66)&lt;0,0,MIN(((E$35-Drivers!$C$66)+1)/Drivers!$C$67,1))*$C$7*((1-Drivers!$C$69)+Drivers!$C$69*Drivers!$C$68)</f>
        <v>1.12224</v>
      </c>
      <c r="F40" s="24" t="n">
        <f aca="false">Drivers!$C$65*IF((F$35-Drivers!$C$66)&lt;0,0,MIN(((F$35-Drivers!$C$66)+1)/Drivers!$C$67,1))*$C$7*((1-Drivers!$C$69)+Drivers!$C$69*Drivers!$C$68)</f>
        <v>1.49632</v>
      </c>
      <c r="G40" s="24" t="n">
        <f aca="false">Drivers!$C$65*IF((G$35-Drivers!$C$66)&lt;0,0,MIN(((G$35-Drivers!$C$66)+1)/Drivers!$C$67,1))*$C$7*((1-Drivers!$C$69)+Drivers!$C$69*Drivers!$C$68)</f>
        <v>1.8704</v>
      </c>
      <c r="H40" s="24" t="n">
        <f aca="false">Drivers!$C$65*IF((H$35-Drivers!$C$66)&lt;0,0,MIN(((H$35-Drivers!$C$66)+1)/Drivers!$C$67,1))*$C$7*((1-Drivers!$C$69)+Drivers!$C$69*Drivers!$C$68)</f>
        <v>1.8704</v>
      </c>
      <c r="I40" s="24" t="n">
        <f aca="false">Drivers!$C$65*IF((I$35-Drivers!$C$66)&lt;0,0,MIN(((I$35-Drivers!$C$66)+1)/Drivers!$C$67,1))*$C$7*((1-Drivers!$C$69)+Drivers!$C$69*Drivers!$C$68)</f>
        <v>1.8704</v>
      </c>
      <c r="J40" s="24" t="n">
        <f aca="false">Drivers!$C$65*IF((J$35-Drivers!$C$66)&lt;0,0,MIN(((J$35-Drivers!$C$66)+1)/Drivers!$C$67,1))*$C$7*((1-Drivers!$C$69)+Drivers!$C$69*Drivers!$C$68)</f>
        <v>1.8704</v>
      </c>
      <c r="K40" s="24" t="n">
        <f aca="false">Drivers!$C$65*IF((K$35-Drivers!$C$66)&lt;0,0,MIN(((K$35-Drivers!$C$66)+1)/Drivers!$C$67,1))*$C$7*((1-Drivers!$C$69)+Drivers!$C$69*Drivers!$C$68)</f>
        <v>1.8704</v>
      </c>
      <c r="L40" s="24" t="n">
        <f aca="false">Drivers!$C$65*IF((L$35-Drivers!$C$66)&lt;0,0,MIN(((L$35-Drivers!$C$66)+1)/Drivers!$C$67,1))*$C$7*((1-Drivers!$C$69)+Drivers!$C$69*Drivers!$C$68)</f>
        <v>1.8704</v>
      </c>
      <c r="M40" s="24" t="n">
        <f aca="false">Drivers!$C$65*IF((M$35-Drivers!$C$66)&lt;0,0,MIN(((M$35-Drivers!$C$66)+1)/Drivers!$C$67,1))*$C$7*((1-Drivers!$C$69)+Drivers!$C$69*Drivers!$C$68)</f>
        <v>1.8704</v>
      </c>
      <c r="N40" s="24" t="n">
        <f aca="false">Drivers!$C$65*IF((N$35-Drivers!$C$66)&lt;0,0,MIN(((N$35-Drivers!$C$66)+1)/Drivers!$C$67,1))*$C$7*((1-Drivers!$C$69)+Drivers!$C$69*Drivers!$C$68)</f>
        <v>1.8704</v>
      </c>
      <c r="O40" s="24" t="n">
        <f aca="false">Drivers!$C$65*IF((O$35-Drivers!$C$66)&lt;0,0,MIN(((O$35-Drivers!$C$66)+1)/Drivers!$C$67,1))*$C$7*((1-Drivers!$C$69)+Drivers!$C$69*Drivers!$C$68)</f>
        <v>1.8704</v>
      </c>
      <c r="P40" s="24" t="n">
        <f aca="false">Drivers!$C$65*IF((P$35-Drivers!$C$66)&lt;0,0,MIN(((P$35-Drivers!$C$66)+1)/Drivers!$C$67,1))*$C$7*((1-Drivers!$C$69)+Drivers!$C$69*Drivers!$C$68)</f>
        <v>1.8704</v>
      </c>
      <c r="Q40" s="24" t="n">
        <f aca="false">Drivers!$C$65*IF((Q$35-Drivers!$C$66)&lt;0,0,MIN(((Q$35-Drivers!$C$66)+1)/Drivers!$C$67,1))*$C$7*((1-Drivers!$C$69)+Drivers!$C$69*Drivers!$C$68)</f>
        <v>1.8704</v>
      </c>
      <c r="R40" s="24" t="n">
        <f aca="false">Drivers!$C$65*IF((R$35-Drivers!$C$66)&lt;0,0,MIN(((R$35-Drivers!$C$66)+1)/Drivers!$C$67,1))*$C$7*((1-Drivers!$C$69)+Drivers!$C$69*Drivers!$C$68)</f>
        <v>1.8704</v>
      </c>
      <c r="S40" s="24" t="n">
        <f aca="false">Drivers!$C$65*IF((S$35-Drivers!$C$66)&lt;0,0,MIN(((S$35-Drivers!$C$66)+1)/Drivers!$C$67,1))*$C$7*((1-Drivers!$C$69)+Drivers!$C$69*Drivers!$C$68)</f>
        <v>1.8704</v>
      </c>
      <c r="T40" s="24" t="n">
        <f aca="false">Drivers!$C$65*IF((T$35-Drivers!$C$66)&lt;0,0,MIN(((T$35-Drivers!$C$66)+1)/Drivers!$C$67,1))*$C$7*((1-Drivers!$C$69)+Drivers!$C$69*Drivers!$C$68)</f>
        <v>1.8704</v>
      </c>
      <c r="U40" s="24" t="n">
        <f aca="false">Drivers!$C$65*IF((U$35-Drivers!$C$66)&lt;0,0,MIN(((U$35-Drivers!$C$66)+1)/Drivers!$C$67,1))*$C$7*((1-Drivers!$C$69)+Drivers!$C$69*Drivers!$C$68)</f>
        <v>1.8704</v>
      </c>
    </row>
    <row r="41" customFormat="false" ht="15" hidden="false" customHeight="false" outlineLevel="0" collapsed="false">
      <c r="A41" s="9" t="s">
        <v>329</v>
      </c>
      <c r="B41" s="35" t="s">
        <v>326</v>
      </c>
      <c r="C41" s="24" t="n">
        <f aca="false">Drivers!$C$70*MIN((C$35-2026)/3,1)</f>
        <v>0.05</v>
      </c>
      <c r="D41" s="24" t="n">
        <f aca="false">Drivers!$C$70*MIN((D$35-2026)/3,1)</f>
        <v>0.1</v>
      </c>
      <c r="E41" s="24" t="n">
        <f aca="false">Drivers!$C$70*MIN((E$35-2026)/3,1)</f>
        <v>0.15</v>
      </c>
      <c r="F41" s="24" t="n">
        <f aca="false">Drivers!$C$70*MIN((F$35-2026)/3,1)</f>
        <v>0.15</v>
      </c>
      <c r="G41" s="24" t="n">
        <f aca="false">Drivers!$C$70*MIN((G$35-2026)/3,1)</f>
        <v>0.15</v>
      </c>
      <c r="H41" s="24" t="n">
        <f aca="false">Drivers!$C$70*MIN((H$35-2026)/3,1)</f>
        <v>0.15</v>
      </c>
      <c r="I41" s="24" t="n">
        <f aca="false">Drivers!$C$70*MIN((I$35-2026)/3,1)</f>
        <v>0.15</v>
      </c>
      <c r="J41" s="24" t="n">
        <f aca="false">Drivers!$C$70*MIN((J$35-2026)/3,1)</f>
        <v>0.15</v>
      </c>
      <c r="K41" s="24" t="n">
        <f aca="false">Drivers!$C$70*MIN((K$35-2026)/3,1)</f>
        <v>0.15</v>
      </c>
      <c r="L41" s="24" t="n">
        <f aca="false">Drivers!$C$70*MIN((L$35-2026)/3,1)</f>
        <v>0.15</v>
      </c>
      <c r="M41" s="24" t="n">
        <f aca="false">Drivers!$C$70*MIN((M$35-2026)/3,1)</f>
        <v>0.15</v>
      </c>
      <c r="N41" s="24" t="n">
        <f aca="false">Drivers!$C$70*MIN((N$35-2026)/3,1)</f>
        <v>0.15</v>
      </c>
      <c r="O41" s="24" t="n">
        <f aca="false">Drivers!$C$70*MIN((O$35-2026)/3,1)</f>
        <v>0.15</v>
      </c>
      <c r="P41" s="24" t="n">
        <f aca="false">Drivers!$C$70*MIN((P$35-2026)/3,1)</f>
        <v>0.15</v>
      </c>
      <c r="Q41" s="24" t="n">
        <f aca="false">Drivers!$C$70*MIN((Q$35-2026)/3,1)</f>
        <v>0.15</v>
      </c>
      <c r="R41" s="24" t="n">
        <f aca="false">Drivers!$C$70*MIN((R$35-2026)/3,1)</f>
        <v>0.15</v>
      </c>
      <c r="S41" s="24" t="n">
        <f aca="false">Drivers!$C$70*MIN((S$35-2026)/3,1)</f>
        <v>0.15</v>
      </c>
      <c r="T41" s="24" t="n">
        <f aca="false">Drivers!$C$70*MIN((T$35-2026)/3,1)</f>
        <v>0.15</v>
      </c>
      <c r="U41" s="24" t="n">
        <f aca="false">Drivers!$C$70*MIN((U$35-2026)/3,1)</f>
        <v>0.15</v>
      </c>
    </row>
    <row r="42" customFormat="false" ht="15" hidden="false" customHeight="false" outlineLevel="0" collapsed="false">
      <c r="A42" s="9" t="s">
        <v>330</v>
      </c>
      <c r="B42" s="35" t="s">
        <v>326</v>
      </c>
      <c r="C42" s="24" t="n">
        <f aca="false">$C$8*Drivers!$C$71*IF((C$35-Drivers!$C$72)&lt;0,0,MIN(((C$35-Drivers!$C$72)+1)/Drivers!$C$73,1))</f>
        <v>0</v>
      </c>
      <c r="D42" s="24" t="n">
        <f aca="false">$C$8*Drivers!$C$71*IF((D$35-Drivers!$C$72)&lt;0,0,MIN(((D$35-Drivers!$C$72)+1)/Drivers!$C$73,1))</f>
        <v>0</v>
      </c>
      <c r="E42" s="24" t="n">
        <f aca="false">$C$8*Drivers!$C$71*IF((E$35-Drivers!$C$72)&lt;0,0,MIN(((E$35-Drivers!$C$72)+1)/Drivers!$C$73,1))</f>
        <v>0.108</v>
      </c>
      <c r="F42" s="24" t="n">
        <f aca="false">$C$8*Drivers!$C$71*IF((F$35-Drivers!$C$72)&lt;0,0,MIN(((F$35-Drivers!$C$72)+1)/Drivers!$C$73,1))</f>
        <v>0.216</v>
      </c>
      <c r="G42" s="24" t="n">
        <f aca="false">$C$8*Drivers!$C$71*IF((G$35-Drivers!$C$72)&lt;0,0,MIN(((G$35-Drivers!$C$72)+1)/Drivers!$C$73,1))</f>
        <v>0.324</v>
      </c>
      <c r="H42" s="24" t="n">
        <f aca="false">$C$8*Drivers!$C$71*IF((H$35-Drivers!$C$72)&lt;0,0,MIN(((H$35-Drivers!$C$72)+1)/Drivers!$C$73,1))</f>
        <v>0.432</v>
      </c>
      <c r="I42" s="24" t="n">
        <f aca="false">$C$8*Drivers!$C$71*IF((I$35-Drivers!$C$72)&lt;0,0,MIN(((I$35-Drivers!$C$72)+1)/Drivers!$C$73,1))</f>
        <v>0.54</v>
      </c>
      <c r="J42" s="24" t="n">
        <f aca="false">$C$8*Drivers!$C$71*IF((J$35-Drivers!$C$72)&lt;0,0,MIN(((J$35-Drivers!$C$72)+1)/Drivers!$C$73,1))</f>
        <v>0.54</v>
      </c>
      <c r="K42" s="24" t="n">
        <f aca="false">$C$8*Drivers!$C$71*IF((K$35-Drivers!$C$72)&lt;0,0,MIN(((K$35-Drivers!$C$72)+1)/Drivers!$C$73,1))</f>
        <v>0.54</v>
      </c>
      <c r="L42" s="24" t="n">
        <f aca="false">$C$8*Drivers!$C$71*IF((L$35-Drivers!$C$72)&lt;0,0,MIN(((L$35-Drivers!$C$72)+1)/Drivers!$C$73,1))</f>
        <v>0.54</v>
      </c>
      <c r="M42" s="24" t="n">
        <f aca="false">$C$8*Drivers!$C$71*IF((M$35-Drivers!$C$72)&lt;0,0,MIN(((M$35-Drivers!$C$72)+1)/Drivers!$C$73,1))</f>
        <v>0.54</v>
      </c>
      <c r="N42" s="24" t="n">
        <f aca="false">$C$8*Drivers!$C$71*IF((N$35-Drivers!$C$72)&lt;0,0,MIN(((N$35-Drivers!$C$72)+1)/Drivers!$C$73,1))</f>
        <v>0.54</v>
      </c>
      <c r="O42" s="24" t="n">
        <f aca="false">$C$8*Drivers!$C$71*IF((O$35-Drivers!$C$72)&lt;0,0,MIN(((O$35-Drivers!$C$72)+1)/Drivers!$C$73,1))</f>
        <v>0.54</v>
      </c>
      <c r="P42" s="24" t="n">
        <f aca="false">$C$8*Drivers!$C$71*IF((P$35-Drivers!$C$72)&lt;0,0,MIN(((P$35-Drivers!$C$72)+1)/Drivers!$C$73,1))</f>
        <v>0.54</v>
      </c>
      <c r="Q42" s="24" t="n">
        <f aca="false">$C$8*Drivers!$C$71*IF((Q$35-Drivers!$C$72)&lt;0,0,MIN(((Q$35-Drivers!$C$72)+1)/Drivers!$C$73,1))</f>
        <v>0.54</v>
      </c>
      <c r="R42" s="24" t="n">
        <f aca="false">$C$8*Drivers!$C$71*IF((R$35-Drivers!$C$72)&lt;0,0,MIN(((R$35-Drivers!$C$72)+1)/Drivers!$C$73,1))</f>
        <v>0.54</v>
      </c>
      <c r="S42" s="24" t="n">
        <f aca="false">$C$8*Drivers!$C$71*IF((S$35-Drivers!$C$72)&lt;0,0,MIN(((S$35-Drivers!$C$72)+1)/Drivers!$C$73,1))</f>
        <v>0.54</v>
      </c>
      <c r="T42" s="24" t="n">
        <f aca="false">$C$8*Drivers!$C$71*IF((T$35-Drivers!$C$72)&lt;0,0,MIN(((T$35-Drivers!$C$72)+1)/Drivers!$C$73,1))</f>
        <v>0.54</v>
      </c>
      <c r="U42" s="24" t="n">
        <f aca="false">$C$8*Drivers!$C$71*IF((U$35-Drivers!$C$72)&lt;0,0,MIN(((U$35-Drivers!$C$72)+1)/Drivers!$C$73,1))</f>
        <v>0.54</v>
      </c>
    </row>
    <row r="43" customFormat="false" ht="15" hidden="false" customHeight="false" outlineLevel="0" collapsed="false">
      <c r="A43" s="9" t="s">
        <v>331</v>
      </c>
      <c r="B43" s="35" t="s">
        <v>326</v>
      </c>
      <c r="C43" s="24" t="n">
        <f aca="false">Drivers!$C$74</f>
        <v>0.15</v>
      </c>
      <c r="D43" s="24" t="n">
        <f aca="false">Drivers!$C$74</f>
        <v>0.15</v>
      </c>
      <c r="E43" s="24" t="n">
        <f aca="false">Drivers!$C$74</f>
        <v>0.15</v>
      </c>
      <c r="F43" s="24" t="n">
        <f aca="false">Drivers!$C$74</f>
        <v>0.15</v>
      </c>
      <c r="G43" s="24" t="n">
        <f aca="false">Drivers!$C$74</f>
        <v>0.15</v>
      </c>
      <c r="H43" s="24" t="n">
        <f aca="false">Drivers!$C$74</f>
        <v>0.15</v>
      </c>
      <c r="I43" s="24" t="n">
        <f aca="false">Drivers!$C$74</f>
        <v>0.15</v>
      </c>
      <c r="J43" s="24" t="n">
        <f aca="false">Drivers!$C$74</f>
        <v>0.15</v>
      </c>
      <c r="K43" s="24" t="n">
        <f aca="false">Drivers!$C$74</f>
        <v>0.15</v>
      </c>
      <c r="L43" s="24" t="n">
        <f aca="false">Drivers!$C$74</f>
        <v>0.15</v>
      </c>
      <c r="M43" s="24" t="n">
        <f aca="false">Drivers!$C$74</f>
        <v>0.15</v>
      </c>
      <c r="N43" s="24" t="n">
        <f aca="false">Drivers!$C$74</f>
        <v>0.15</v>
      </c>
      <c r="O43" s="24" t="n">
        <f aca="false">Drivers!$C$74</f>
        <v>0.15</v>
      </c>
      <c r="P43" s="24" t="n">
        <f aca="false">Drivers!$C$74</f>
        <v>0.15</v>
      </c>
      <c r="Q43" s="24" t="n">
        <f aca="false">Drivers!$C$74</f>
        <v>0.15</v>
      </c>
      <c r="R43" s="24" t="n">
        <f aca="false">Drivers!$C$74</f>
        <v>0.15</v>
      </c>
      <c r="S43" s="24" t="n">
        <f aca="false">Drivers!$C$74</f>
        <v>0.15</v>
      </c>
      <c r="T43" s="24" t="n">
        <f aca="false">Drivers!$C$74</f>
        <v>0.15</v>
      </c>
      <c r="U43" s="24" t="n">
        <f aca="false">Drivers!$C$74</f>
        <v>0.15</v>
      </c>
    </row>
    <row r="44" customFormat="false" ht="15" hidden="false" customHeight="false" outlineLevel="0" collapsed="false">
      <c r="A44" s="3" t="s">
        <v>332</v>
      </c>
      <c r="B44" s="35" t="s">
        <v>326</v>
      </c>
      <c r="C44" s="29" t="n">
        <f aca="false">SUM(C38:C43)</f>
        <v>2.86508</v>
      </c>
      <c r="D44" s="29" t="n">
        <f aca="false">SUM(D38:D43)</f>
        <v>3.38016</v>
      </c>
      <c r="E44" s="29" t="n">
        <f aca="false">SUM(E38:E43)</f>
        <v>4.00324</v>
      </c>
      <c r="F44" s="29" t="n">
        <f aca="false">SUM(F38:F43)</f>
        <v>4.63132</v>
      </c>
      <c r="G44" s="29" t="n">
        <f aca="false">SUM(G38:G43)</f>
        <v>5.2924</v>
      </c>
      <c r="H44" s="29" t="n">
        <f aca="false">SUM(H38:H43)</f>
        <v>5.3124</v>
      </c>
      <c r="I44" s="29" t="n">
        <f aca="false">SUM(I38:I43)</f>
        <v>5.3918</v>
      </c>
      <c r="J44" s="29" t="n">
        <f aca="false">SUM(J38:J43)</f>
        <v>5.363772</v>
      </c>
      <c r="K44" s="29" t="n">
        <f aca="false">SUM(K38:K43)</f>
        <v>5.33630456</v>
      </c>
      <c r="L44" s="29" t="n">
        <f aca="false">SUM(L38:L43)</f>
        <v>5.3093864688</v>
      </c>
      <c r="M44" s="29" t="n">
        <f aca="false">SUM(M38:M43)</f>
        <v>5.283006739424</v>
      </c>
      <c r="N44" s="29" t="n">
        <f aca="false">SUM(N38:N43)</f>
        <v>5.25715460463552</v>
      </c>
      <c r="O44" s="29" t="n">
        <f aca="false">SUM(O38:O43)</f>
        <v>5.23181951254281</v>
      </c>
      <c r="P44" s="29" t="n">
        <f aca="false">SUM(P38:P43)</f>
        <v>5.20699112229195</v>
      </c>
      <c r="Q44" s="29" t="n">
        <f aca="false">SUM(Q38:Q43)</f>
        <v>5.18265929984612</v>
      </c>
      <c r="R44" s="29" t="n">
        <f aca="false">SUM(R38:R43)</f>
        <v>5.15881411384919</v>
      </c>
      <c r="S44" s="29" t="n">
        <f aca="false">SUM(S38:S43)</f>
        <v>5.13544583157221</v>
      </c>
      <c r="T44" s="29" t="n">
        <f aca="false">SUM(T38:T43)</f>
        <v>5.11254491494077</v>
      </c>
      <c r="U44" s="29" t="n">
        <f aca="false">SUM(U38:U43)</f>
        <v>5.09010201664195</v>
      </c>
    </row>
    <row r="45" customFormat="false" ht="15" hidden="false" customHeight="false" outlineLevel="0" collapsed="false">
      <c r="A45" s="9" t="s">
        <v>333</v>
      </c>
      <c r="B45" s="35" t="s">
        <v>334</v>
      </c>
      <c r="C45" s="11" t="n">
        <f aca="false">Drivers!$D$75+$C$9</f>
        <v>0.66</v>
      </c>
      <c r="D45" s="11" t="n">
        <f aca="false">Drivers!$E$75+$C$9</f>
        <v>0.7</v>
      </c>
      <c r="E45" s="11" t="n">
        <f aca="false">Drivers!$F$75+$C$9</f>
        <v>0.73</v>
      </c>
      <c r="F45" s="11" t="n">
        <f aca="false">Drivers!$G$75+$C$9</f>
        <v>0.75</v>
      </c>
      <c r="G45" s="11" t="n">
        <f aca="false">Drivers!$H$75+$C$9</f>
        <v>0.76</v>
      </c>
      <c r="H45" s="11" t="n">
        <f aca="false">Drivers!$I$75+$C$9</f>
        <v>0.77</v>
      </c>
      <c r="I45" s="11" t="n">
        <f aca="false">Drivers!$I$75+$C$9</f>
        <v>0.77</v>
      </c>
      <c r="J45" s="11" t="n">
        <f aca="false">Drivers!$I$75+$C$9</f>
        <v>0.77</v>
      </c>
      <c r="K45" s="11" t="n">
        <f aca="false">Drivers!$I$75+$C$9</f>
        <v>0.77</v>
      </c>
      <c r="L45" s="11" t="n">
        <f aca="false">Drivers!$I$75+$C$9</f>
        <v>0.77</v>
      </c>
      <c r="M45" s="11" t="n">
        <f aca="false">Drivers!$I$75+$C$9</f>
        <v>0.77</v>
      </c>
      <c r="N45" s="11" t="n">
        <f aca="false">Drivers!$I$75+$C$9</f>
        <v>0.77</v>
      </c>
      <c r="O45" s="11" t="n">
        <f aca="false">Drivers!$I$75+$C$9</f>
        <v>0.77</v>
      </c>
      <c r="P45" s="11" t="n">
        <f aca="false">Drivers!$I$75+$C$9</f>
        <v>0.77</v>
      </c>
      <c r="Q45" s="11" t="n">
        <f aca="false">Drivers!$I$75+$C$9</f>
        <v>0.77</v>
      </c>
      <c r="R45" s="11" t="n">
        <f aca="false">Drivers!$I$75+$C$9</f>
        <v>0.77</v>
      </c>
      <c r="S45" s="11" t="n">
        <f aca="false">Drivers!$I$75+$C$9</f>
        <v>0.77</v>
      </c>
      <c r="T45" s="11" t="n">
        <f aca="false">Drivers!$I$75+$C$9</f>
        <v>0.77</v>
      </c>
      <c r="U45" s="11" t="n">
        <f aca="false">Drivers!$I$75+$C$9</f>
        <v>0.77</v>
      </c>
    </row>
    <row r="46" customFormat="false" ht="15" hidden="false" customHeight="false" outlineLevel="0" collapsed="false">
      <c r="A46" s="9" t="s">
        <v>335</v>
      </c>
      <c r="B46" s="35" t="s">
        <v>326</v>
      </c>
      <c r="C46" s="24" t="n">
        <f aca="false">C39+C40</f>
        <v>0.63008</v>
      </c>
      <c r="D46" s="24" t="n">
        <f aca="false">D39+D40</f>
        <v>1.26016</v>
      </c>
      <c r="E46" s="24" t="n">
        <f aca="false">E39+E40</f>
        <v>1.89024</v>
      </c>
      <c r="F46" s="24" t="n">
        <f aca="false">F39+F40</f>
        <v>2.52032</v>
      </c>
      <c r="G46" s="24" t="n">
        <f aca="false">G39+G40</f>
        <v>3.1504</v>
      </c>
      <c r="H46" s="24" t="n">
        <f aca="false">H39+H40</f>
        <v>3.1504</v>
      </c>
      <c r="I46" s="24" t="n">
        <f aca="false">I39+I40</f>
        <v>3.1504</v>
      </c>
      <c r="J46" s="24" t="n">
        <f aca="false">J39+J40</f>
        <v>3.1504</v>
      </c>
      <c r="K46" s="24" t="n">
        <f aca="false">K39+K40</f>
        <v>3.1504</v>
      </c>
      <c r="L46" s="24" t="n">
        <f aca="false">L39+L40</f>
        <v>3.1504</v>
      </c>
      <c r="M46" s="24" t="n">
        <f aca="false">M39+M40</f>
        <v>3.1504</v>
      </c>
      <c r="N46" s="24" t="n">
        <f aca="false">N39+N40</f>
        <v>3.1504</v>
      </c>
      <c r="O46" s="24" t="n">
        <f aca="false">O39+O40</f>
        <v>3.1504</v>
      </c>
      <c r="P46" s="24" t="n">
        <f aca="false">P39+P40</f>
        <v>3.1504</v>
      </c>
      <c r="Q46" s="24" t="n">
        <f aca="false">Q39+Q40</f>
        <v>3.1504</v>
      </c>
      <c r="R46" s="24" t="n">
        <f aca="false">R39+R40</f>
        <v>3.1504</v>
      </c>
      <c r="S46" s="24" t="n">
        <f aca="false">S39+S40</f>
        <v>3.1504</v>
      </c>
      <c r="T46" s="24" t="n">
        <f aca="false">T39+T40</f>
        <v>3.1504</v>
      </c>
      <c r="U46" s="24" t="n">
        <f aca="false">U39+U40</f>
        <v>3.1504</v>
      </c>
    </row>
    <row r="47" customFormat="false" ht="15" hidden="false" customHeight="false" outlineLevel="0" collapsed="false">
      <c r="A47" s="9" t="s">
        <v>336</v>
      </c>
      <c r="B47" s="35" t="s">
        <v>326</v>
      </c>
      <c r="C47" s="24" t="n">
        <f aca="false">MIN(Drivers!$C$77-0,Drivers!$C$78*C46)</f>
        <v>0.0504064</v>
      </c>
      <c r="D47" s="24" t="n">
        <f aca="false">MIN(Drivers!$C$77-C48,Drivers!$C$78*D46)</f>
        <v>0.1008128</v>
      </c>
      <c r="E47" s="24" t="n">
        <f aca="false">MIN(Drivers!$C$77-D48,Drivers!$C$78*E46)</f>
        <v>0.1512192</v>
      </c>
      <c r="F47" s="24" t="n">
        <f aca="false">MIN(Drivers!$C$77-E48,Drivers!$C$78*F46)</f>
        <v>0.2016256</v>
      </c>
      <c r="G47" s="24" t="n">
        <f aca="false">MIN(Drivers!$C$77-F48,Drivers!$C$78*G46)</f>
        <v>0.245936</v>
      </c>
      <c r="H47" s="24" t="n">
        <f aca="false">MIN(Drivers!$C$77-G48,Drivers!$C$78*H46)</f>
        <v>0</v>
      </c>
      <c r="I47" s="24" t="n">
        <f aca="false">MIN(Drivers!$C$77-H48,Drivers!$C$78*I46)</f>
        <v>0</v>
      </c>
      <c r="J47" s="24" t="n">
        <f aca="false">MIN(Drivers!$C$77-I48,Drivers!$C$78*J46)</f>
        <v>0</v>
      </c>
      <c r="K47" s="24" t="n">
        <f aca="false">MIN(Drivers!$C$77-J48,Drivers!$C$78*K46)</f>
        <v>0</v>
      </c>
      <c r="L47" s="24" t="n">
        <f aca="false">MIN(Drivers!$C$77-K48,Drivers!$C$78*L46)</f>
        <v>0</v>
      </c>
      <c r="M47" s="24" t="n">
        <f aca="false">MIN(Drivers!$C$77-L48,Drivers!$C$78*M46)</f>
        <v>0</v>
      </c>
      <c r="N47" s="24" t="n">
        <f aca="false">MIN(Drivers!$C$77-M48,Drivers!$C$78*N46)</f>
        <v>0</v>
      </c>
      <c r="O47" s="24" t="n">
        <f aca="false">MIN(Drivers!$C$77-N48,Drivers!$C$78*O46)</f>
        <v>0</v>
      </c>
      <c r="P47" s="24" t="n">
        <f aca="false">MIN(Drivers!$C$77-O48,Drivers!$C$78*P46)</f>
        <v>0</v>
      </c>
      <c r="Q47" s="24" t="n">
        <f aca="false">MIN(Drivers!$C$77-P48,Drivers!$C$78*Q46)</f>
        <v>0</v>
      </c>
      <c r="R47" s="24" t="n">
        <f aca="false">MIN(Drivers!$C$77-Q48,Drivers!$C$78*R46)</f>
        <v>0</v>
      </c>
      <c r="S47" s="24" t="n">
        <f aca="false">MIN(Drivers!$C$77-R48,Drivers!$C$78*S46)</f>
        <v>0</v>
      </c>
      <c r="T47" s="24" t="n">
        <f aca="false">MIN(Drivers!$C$77-S48,Drivers!$C$78*T46)</f>
        <v>0</v>
      </c>
      <c r="U47" s="24" t="n">
        <f aca="false">MIN(Drivers!$C$77-T48,Drivers!$C$78*U46)</f>
        <v>0</v>
      </c>
    </row>
    <row r="48" customFormat="false" ht="15" hidden="false" customHeight="false" outlineLevel="0" collapsed="false">
      <c r="A48" s="9" t="s">
        <v>337</v>
      </c>
      <c r="B48" s="35" t="s">
        <v>326</v>
      </c>
      <c r="C48" s="24" t="n">
        <f aca="false">C47</f>
        <v>0.0504064</v>
      </c>
      <c r="D48" s="24" t="n">
        <f aca="false">C48+D47</f>
        <v>0.1512192</v>
      </c>
      <c r="E48" s="24" t="n">
        <f aca="false">D48+E47</f>
        <v>0.3024384</v>
      </c>
      <c r="F48" s="24" t="n">
        <f aca="false">E48+F47</f>
        <v>0.504064</v>
      </c>
      <c r="G48" s="24" t="n">
        <f aca="false">F48+G47</f>
        <v>0.75</v>
      </c>
      <c r="H48" s="24" t="n">
        <f aca="false">G48+H47</f>
        <v>0.75</v>
      </c>
      <c r="I48" s="24" t="n">
        <f aca="false">H48+I47</f>
        <v>0.75</v>
      </c>
      <c r="J48" s="24" t="n">
        <f aca="false">I48+J47</f>
        <v>0.75</v>
      </c>
      <c r="K48" s="24" t="n">
        <f aca="false">J48+K47</f>
        <v>0.75</v>
      </c>
      <c r="L48" s="24" t="n">
        <f aca="false">K48+L47</f>
        <v>0.75</v>
      </c>
      <c r="M48" s="24" t="n">
        <f aca="false">L48+M47</f>
        <v>0.75</v>
      </c>
      <c r="N48" s="24" t="n">
        <f aca="false">M48+N47</f>
        <v>0.75</v>
      </c>
      <c r="O48" s="24" t="n">
        <f aca="false">N48+O47</f>
        <v>0.75</v>
      </c>
      <c r="P48" s="24" t="n">
        <f aca="false">O48+P47</f>
        <v>0.75</v>
      </c>
      <c r="Q48" s="24" t="n">
        <f aca="false">P48+Q47</f>
        <v>0.75</v>
      </c>
      <c r="R48" s="24" t="n">
        <f aca="false">Q48+R47</f>
        <v>0.75</v>
      </c>
      <c r="S48" s="24" t="n">
        <f aca="false">R48+S47</f>
        <v>0.75</v>
      </c>
      <c r="T48" s="24" t="n">
        <f aca="false">S48+T47</f>
        <v>0.75</v>
      </c>
      <c r="U48" s="24" t="n">
        <f aca="false">T48+U47</f>
        <v>0.75</v>
      </c>
    </row>
    <row r="49" customFormat="false" ht="15" hidden="false" customHeight="false" outlineLevel="0" collapsed="false">
      <c r="A49" s="9" t="s">
        <v>338</v>
      </c>
      <c r="B49" s="35" t="s">
        <v>326</v>
      </c>
      <c r="C49" s="24" t="n">
        <f aca="false">Drivers!$C$76*C46+C47</f>
        <v>0.0661584</v>
      </c>
      <c r="D49" s="24" t="n">
        <f aca="false">Drivers!$C$76*D46+D47</f>
        <v>0.1323168</v>
      </c>
      <c r="E49" s="24" t="n">
        <f aca="false">Drivers!$C$76*E46+E47</f>
        <v>0.1984752</v>
      </c>
      <c r="F49" s="24" t="n">
        <f aca="false">Drivers!$C$76*F46+F47</f>
        <v>0.2646336</v>
      </c>
      <c r="G49" s="24" t="n">
        <f aca="false">Drivers!$C$76*G46+G47</f>
        <v>0.324696</v>
      </c>
      <c r="H49" s="24" t="n">
        <f aca="false">Drivers!$C$76*H46+H47</f>
        <v>0.07876</v>
      </c>
      <c r="I49" s="24" t="n">
        <f aca="false">Drivers!$C$76*I46+I47</f>
        <v>0.07876</v>
      </c>
      <c r="J49" s="24" t="n">
        <f aca="false">Drivers!$C$76*J46+J47</f>
        <v>0.07876</v>
      </c>
      <c r="K49" s="24" t="n">
        <f aca="false">Drivers!$C$76*K46+K47</f>
        <v>0.07876</v>
      </c>
      <c r="L49" s="24" t="n">
        <f aca="false">Drivers!$C$76*L46+L47</f>
        <v>0.07876</v>
      </c>
      <c r="M49" s="24" t="n">
        <f aca="false">Drivers!$C$76*M46+M47</f>
        <v>0.07876</v>
      </c>
      <c r="N49" s="24" t="n">
        <f aca="false">Drivers!$C$76*N46+N47</f>
        <v>0.07876</v>
      </c>
      <c r="O49" s="24" t="n">
        <f aca="false">Drivers!$C$76*O46+O47</f>
        <v>0.07876</v>
      </c>
      <c r="P49" s="24" t="n">
        <f aca="false">Drivers!$C$76*P46+P47</f>
        <v>0.07876</v>
      </c>
      <c r="Q49" s="24" t="n">
        <f aca="false">Drivers!$C$76*Q46+Q47</f>
        <v>0.07876</v>
      </c>
      <c r="R49" s="24" t="n">
        <f aca="false">Drivers!$C$76*R46+R47</f>
        <v>0.07876</v>
      </c>
      <c r="S49" s="24" t="n">
        <f aca="false">Drivers!$C$76*S46+S47</f>
        <v>0.07876</v>
      </c>
      <c r="T49" s="24" t="n">
        <f aca="false">Drivers!$C$76*T46+T47</f>
        <v>0.07876</v>
      </c>
      <c r="U49" s="24" t="n">
        <f aca="false">Drivers!$C$76*U46+U47</f>
        <v>0.07876</v>
      </c>
    </row>
    <row r="50" customFormat="false" ht="15" hidden="false" customHeight="false" outlineLevel="0" collapsed="false">
      <c r="A50" s="9" t="s">
        <v>339</v>
      </c>
      <c r="B50" s="35" t="s">
        <v>326</v>
      </c>
      <c r="C50" s="24" t="n">
        <f aca="false">MAX(Drivers!$C$80,Drivers!$C$79*C44)</f>
        <v>0.4011112</v>
      </c>
      <c r="D50" s="24" t="n">
        <f aca="false">MAX(Drivers!$C$80,Drivers!$C$79*D44)</f>
        <v>0.4732224</v>
      </c>
      <c r="E50" s="24" t="n">
        <f aca="false">MAX(Drivers!$C$80,Drivers!$C$79*E44)</f>
        <v>0.5604536</v>
      </c>
      <c r="F50" s="24" t="n">
        <f aca="false">MAX(Drivers!$C$80,Drivers!$C$79*F44)</f>
        <v>0.6483848</v>
      </c>
      <c r="G50" s="24" t="n">
        <f aca="false">MAX(Drivers!$C$80,Drivers!$C$79*G44)</f>
        <v>0.740936</v>
      </c>
      <c r="H50" s="24" t="n">
        <f aca="false">MAX(Drivers!$C$80,Drivers!$C$79*H44)</f>
        <v>0.743736</v>
      </c>
      <c r="I50" s="24" t="n">
        <f aca="false">MAX(Drivers!$C$80,Drivers!$C$79*I44)</f>
        <v>0.754852</v>
      </c>
      <c r="J50" s="24" t="n">
        <f aca="false">MAX(Drivers!$C$80,Drivers!$C$79*J44)</f>
        <v>0.75092808</v>
      </c>
      <c r="K50" s="24" t="n">
        <f aca="false">MAX(Drivers!$C$80,Drivers!$C$79*K44)</f>
        <v>0.7470826384</v>
      </c>
      <c r="L50" s="24" t="n">
        <f aca="false">MAX(Drivers!$C$80,Drivers!$C$79*L44)</f>
        <v>0.743314105632</v>
      </c>
      <c r="M50" s="24" t="n">
        <f aca="false">MAX(Drivers!$C$80,Drivers!$C$79*M44)</f>
        <v>0.73962094351936</v>
      </c>
      <c r="N50" s="24" t="n">
        <f aca="false">MAX(Drivers!$C$80,Drivers!$C$79*N44)</f>
        <v>0.736001644648973</v>
      </c>
      <c r="O50" s="24" t="n">
        <f aca="false">MAX(Drivers!$C$80,Drivers!$C$79*O44)</f>
        <v>0.732454731755993</v>
      </c>
      <c r="P50" s="24" t="n">
        <f aca="false">MAX(Drivers!$C$80,Drivers!$C$79*P44)</f>
        <v>0.728978757120874</v>
      </c>
      <c r="Q50" s="24" t="n">
        <f aca="false">MAX(Drivers!$C$80,Drivers!$C$79*Q44)</f>
        <v>0.725572301978456</v>
      </c>
      <c r="R50" s="24" t="n">
        <f aca="false">MAX(Drivers!$C$80,Drivers!$C$79*R44)</f>
        <v>0.722233975938887</v>
      </c>
      <c r="S50" s="24" t="n">
        <f aca="false">MAX(Drivers!$C$80,Drivers!$C$79*S44)</f>
        <v>0.718962416420109</v>
      </c>
      <c r="T50" s="24" t="n">
        <f aca="false">MAX(Drivers!$C$80,Drivers!$C$79*T44)</f>
        <v>0.715756288091707</v>
      </c>
      <c r="U50" s="24" t="n">
        <f aca="false">MAX(Drivers!$C$80,Drivers!$C$79*U44)</f>
        <v>0.712614282329873</v>
      </c>
    </row>
    <row r="51" customFormat="false" ht="15" hidden="false" customHeight="false" outlineLevel="0" collapsed="false">
      <c r="A51" s="9" t="s">
        <v>340</v>
      </c>
      <c r="B51" s="35" t="s">
        <v>326</v>
      </c>
      <c r="C51" s="24" t="n">
        <f aca="false">Drivers!$D$81</f>
        <v>0.75</v>
      </c>
      <c r="D51" s="24" t="n">
        <f aca="false">Drivers!$E$81</f>
        <v>0.62</v>
      </c>
      <c r="E51" s="24" t="n">
        <f aca="false">Drivers!$F$81</f>
        <v>0.55</v>
      </c>
      <c r="F51" s="24" t="n">
        <f aca="false">Drivers!$G$81</f>
        <v>0.5</v>
      </c>
      <c r="G51" s="24" t="n">
        <f aca="false">Drivers!$H$81</f>
        <v>0.48</v>
      </c>
      <c r="H51" s="24" t="n">
        <f aca="false">Drivers!$I$81</f>
        <v>0.46</v>
      </c>
      <c r="I51" s="24" t="n">
        <f aca="false">H51*1.02</f>
        <v>0.4692</v>
      </c>
      <c r="J51" s="24" t="n">
        <f aca="false">I51*1.02</f>
        <v>0.478584</v>
      </c>
      <c r="K51" s="24" t="n">
        <f aca="false">J51*1.02</f>
        <v>0.48815568</v>
      </c>
      <c r="L51" s="24" t="n">
        <f aca="false">K51*1.02</f>
        <v>0.4979187936</v>
      </c>
      <c r="M51" s="24" t="n">
        <f aca="false">L51*1.02</f>
        <v>0.507877169472</v>
      </c>
      <c r="N51" s="24" t="n">
        <f aca="false">M51*1.02</f>
        <v>0.51803471286144</v>
      </c>
      <c r="O51" s="24" t="n">
        <f aca="false">N51*1.02</f>
        <v>0.528395407118669</v>
      </c>
      <c r="P51" s="24" t="n">
        <f aca="false">O51*1.02</f>
        <v>0.538963315261042</v>
      </c>
      <c r="Q51" s="24" t="n">
        <f aca="false">P51*1.02</f>
        <v>0.549742581566263</v>
      </c>
      <c r="R51" s="24" t="n">
        <f aca="false">Q51*1.02</f>
        <v>0.560737433197588</v>
      </c>
      <c r="S51" s="24" t="n">
        <f aca="false">R51*1.02</f>
        <v>0.57195218186154</v>
      </c>
      <c r="T51" s="24" t="n">
        <f aca="false">S51*1.02</f>
        <v>0.583391225498771</v>
      </c>
      <c r="U51" s="24" t="n">
        <f aca="false">T51*1.02</f>
        <v>0.595059050008746</v>
      </c>
    </row>
    <row r="52" customFormat="false" ht="15" hidden="false" customHeight="false" outlineLevel="0" collapsed="false">
      <c r="A52" s="3" t="s">
        <v>341</v>
      </c>
      <c r="B52" s="35" t="s">
        <v>326</v>
      </c>
      <c r="C52" s="29" t="n">
        <f aca="false">C44*C45-C49-C50-C51</f>
        <v>0.6736832</v>
      </c>
      <c r="D52" s="29" t="n">
        <f aca="false">D44*D45-D49-D50-D51</f>
        <v>1.1405728</v>
      </c>
      <c r="E52" s="29" t="n">
        <f aca="false">E44*E45-E49-E50-E51</f>
        <v>1.6134364</v>
      </c>
      <c r="F52" s="29" t="n">
        <f aca="false">F44*F45-F49-F50-F51</f>
        <v>2.0604716</v>
      </c>
      <c r="G52" s="29" t="n">
        <f aca="false">G44*G45-G49-G50-G51</f>
        <v>2.476592</v>
      </c>
      <c r="H52" s="29" t="n">
        <f aca="false">H44*H45-H49-H50-H51</f>
        <v>2.808052</v>
      </c>
      <c r="I52" s="29" t="n">
        <f aca="false">I44*I45-I49-I50-I51</f>
        <v>2.848874</v>
      </c>
      <c r="J52" s="29" t="n">
        <f aca="false">J44*J45-J49-J50-J51</f>
        <v>2.82183236</v>
      </c>
      <c r="K52" s="29" t="n">
        <f aca="false">K44*K45-K49-K50-K51</f>
        <v>2.7949561928</v>
      </c>
      <c r="L52" s="29" t="n">
        <f aca="false">L44*L45-L49-L50-L51</f>
        <v>2.768234681744</v>
      </c>
      <c r="M52" s="29" t="n">
        <f aca="false">M44*M45-M49-M50-M51</f>
        <v>2.74165707636512</v>
      </c>
      <c r="N52" s="29" t="n">
        <f aca="false">N44*N45-N49-N50-N51</f>
        <v>2.71521268805894</v>
      </c>
      <c r="O52" s="29" t="n">
        <f aca="false">O44*O45-O49-O50-O51</f>
        <v>2.6888908857833</v>
      </c>
      <c r="P52" s="29" t="n">
        <f aca="false">P44*P45-P49-P50-P51</f>
        <v>2.66268109178289</v>
      </c>
      <c r="Q52" s="29" t="n">
        <f aca="false">Q44*Q45-Q49-Q50-Q51</f>
        <v>2.63657277733679</v>
      </c>
      <c r="R52" s="29" t="n">
        <f aca="false">R44*R45-R49-R50-R51</f>
        <v>2.6105554585274</v>
      </c>
      <c r="S52" s="29" t="n">
        <f aca="false">S44*S45-S49-S50-S51</f>
        <v>2.58461869202895</v>
      </c>
      <c r="T52" s="29" t="n">
        <f aca="false">T44*T45-T49-T50-T51</f>
        <v>2.55875207091391</v>
      </c>
      <c r="U52" s="29" t="n">
        <f aca="false">U44*U45-U49-U50-U51</f>
        <v>2.53294522047568</v>
      </c>
    </row>
    <row r="53" customFormat="false" ht="15" hidden="false" customHeight="false" outlineLevel="0" collapsed="false">
      <c r="A53" s="3" t="s">
        <v>342</v>
      </c>
    </row>
    <row r="54" customFormat="false" ht="15" hidden="false" customHeight="false" outlineLevel="0" collapsed="false">
      <c r="A54" s="9" t="s">
        <v>343</v>
      </c>
      <c r="B54" s="35" t="s">
        <v>326</v>
      </c>
      <c r="C54" s="24" t="n">
        <f aca="false">$D$24*$C$15*IF((C$35-$C$24)&lt;0,0,IF((C$35-$C$24)&gt;=7,1,INDEX(Drivers!$D$86:$J$86,(C$35-$C$24)+1)))*IF((C$35-$C$24)&lt;Drivers!$C$87,1,Drivers!$C$88*Drivers!$C$89^((C$35-$C$24)-Drivers!$C$87))*$E$24</f>
        <v>0.5208</v>
      </c>
      <c r="D54" s="24" t="n">
        <f aca="false">$D$24*$C$15*IF((D$35-$C$24)&lt;0,0,IF((D$35-$C$24)&gt;=7,1,INDEX(Drivers!$D$86:$J$86,(D$35-$C$24)+1)))*IF((D$35-$C$24)&lt;Drivers!$C$87,1,Drivers!$C$88*Drivers!$C$89^((D$35-$C$24)-Drivers!$C$87))*$E$24</f>
        <v>1.6275</v>
      </c>
      <c r="E54" s="24" t="n">
        <f aca="false">$D$24*$C$15*IF((E$35-$C$24)&lt;0,0,IF((E$35-$C$24)&gt;=7,1,INDEX(Drivers!$D$86:$J$86,(E$35-$C$24)+1)))*IF((E$35-$C$24)&lt;Drivers!$C$87,1,Drivers!$C$88*Drivers!$C$89^((E$35-$C$24)-Drivers!$C$87))*$E$24</f>
        <v>2.9295</v>
      </c>
      <c r="F54" s="24" t="n">
        <f aca="false">$D$24*$C$15*IF((F$35-$C$24)&lt;0,0,IF((F$35-$C$24)&gt;=7,1,INDEX(Drivers!$D$86:$J$86,(F$35-$C$24)+1)))*IF((F$35-$C$24)&lt;Drivers!$C$87,1,Drivers!$C$88*Drivers!$C$89^((F$35-$C$24)-Drivers!$C$87))*$E$24</f>
        <v>4.2315</v>
      </c>
      <c r="G54" s="24" t="n">
        <f aca="false">$D$24*$C$15*IF((G$35-$C$24)&lt;0,0,IF((G$35-$C$24)&gt;=7,1,INDEX(Drivers!$D$86:$J$86,(G$35-$C$24)+1)))*IF((G$35-$C$24)&lt;Drivers!$C$87,1,Drivers!$C$88*Drivers!$C$89^((G$35-$C$24)-Drivers!$C$87))*$E$24</f>
        <v>5.3382</v>
      </c>
      <c r="H54" s="24" t="n">
        <f aca="false">$D$24*$C$15*IF((H$35-$C$24)&lt;0,0,IF((H$35-$C$24)&gt;=7,1,INDEX(Drivers!$D$86:$J$86,(H$35-$C$24)+1)))*IF((H$35-$C$24)&lt;Drivers!$C$87,1,Drivers!$C$88*Drivers!$C$89^((H$35-$C$24)-Drivers!$C$87))*$E$24</f>
        <v>6.0543</v>
      </c>
      <c r="I54" s="24" t="n">
        <f aca="false">$D$24*$C$15*IF((I$35-$C$24)&lt;0,0,IF((I$35-$C$24)&gt;=7,1,INDEX(Drivers!$D$86:$J$86,(I$35-$C$24)+1)))*IF((I$35-$C$24)&lt;Drivers!$C$87,1,Drivers!$C$88*Drivers!$C$89^((I$35-$C$24)-Drivers!$C$87))*$E$24</f>
        <v>6.51</v>
      </c>
      <c r="J54" s="24" t="n">
        <f aca="false">$D$24*$C$15*IF((J$35-$C$24)&lt;0,0,IF((J$35-$C$24)&gt;=7,1,INDEX(Drivers!$D$86:$J$86,(J$35-$C$24)+1)))*IF((J$35-$C$24)&lt;Drivers!$C$87,1,Drivers!$C$88*Drivers!$C$89^((J$35-$C$24)-Drivers!$C$87))*$E$24</f>
        <v>6.51</v>
      </c>
      <c r="K54" s="24" t="n">
        <f aca="false">$D$24*$C$15*IF((K$35-$C$24)&lt;0,0,IF((K$35-$C$24)&gt;=7,1,INDEX(Drivers!$D$86:$J$86,(K$35-$C$24)+1)))*IF((K$35-$C$24)&lt;Drivers!$C$87,1,Drivers!$C$88*Drivers!$C$89^((K$35-$C$24)-Drivers!$C$87))*$E$24</f>
        <v>6.51</v>
      </c>
      <c r="L54" s="24" t="n">
        <f aca="false">$D$24*$C$15*IF((L$35-$C$24)&lt;0,0,IF((L$35-$C$24)&gt;=7,1,INDEX(Drivers!$D$86:$J$86,(L$35-$C$24)+1)))*IF((L$35-$C$24)&lt;Drivers!$C$87,1,Drivers!$C$88*Drivers!$C$89^((L$35-$C$24)-Drivers!$C$87))*$E$24</f>
        <v>6.51</v>
      </c>
      <c r="M54" s="24" t="n">
        <f aca="false">$D$24*$C$15*IF((M$35-$C$24)&lt;0,0,IF((M$35-$C$24)&gt;=7,1,INDEX(Drivers!$D$86:$J$86,(M$35-$C$24)+1)))*IF((M$35-$C$24)&lt;Drivers!$C$87,1,Drivers!$C$88*Drivers!$C$89^((M$35-$C$24)-Drivers!$C$87))*$E$24</f>
        <v>6.51</v>
      </c>
      <c r="N54" s="24" t="n">
        <f aca="false">$D$24*$C$15*IF((N$35-$C$24)&lt;0,0,IF((N$35-$C$24)&gt;=7,1,INDEX(Drivers!$D$86:$J$86,(N$35-$C$24)+1)))*IF((N$35-$C$24)&lt;Drivers!$C$87,1,Drivers!$C$88*Drivers!$C$89^((N$35-$C$24)-Drivers!$C$87))*$E$24</f>
        <v>6.51</v>
      </c>
      <c r="O54" s="24" t="n">
        <f aca="false">$D$24*$C$15*IF((O$35-$C$24)&lt;0,0,IF((O$35-$C$24)&gt;=7,1,INDEX(Drivers!$D$86:$J$86,(O$35-$C$24)+1)))*IF((O$35-$C$24)&lt;Drivers!$C$87,1,Drivers!$C$88*Drivers!$C$89^((O$35-$C$24)-Drivers!$C$87))*$E$24</f>
        <v>5.208</v>
      </c>
      <c r="P54" s="24" t="n">
        <f aca="false">$D$24*$C$15*IF((P$35-$C$24)&lt;0,0,IF((P$35-$C$24)&gt;=7,1,INDEX(Drivers!$D$86:$J$86,(P$35-$C$24)+1)))*IF((P$35-$C$24)&lt;Drivers!$C$87,1,Drivers!$C$88*Drivers!$C$89^((P$35-$C$24)-Drivers!$C$87))*$E$24</f>
        <v>5.05176</v>
      </c>
      <c r="Q54" s="24" t="n">
        <f aca="false">$D$24*$C$15*IF((Q$35-$C$24)&lt;0,0,IF((Q$35-$C$24)&gt;=7,1,INDEX(Drivers!$D$86:$J$86,(Q$35-$C$24)+1)))*IF((Q$35-$C$24)&lt;Drivers!$C$87,1,Drivers!$C$88*Drivers!$C$89^((Q$35-$C$24)-Drivers!$C$87))*$E$24</f>
        <v>4.9002072</v>
      </c>
      <c r="R54" s="24" t="n">
        <f aca="false">$D$24*$C$15*IF((R$35-$C$24)&lt;0,0,IF((R$35-$C$24)&gt;=7,1,INDEX(Drivers!$D$86:$J$86,(R$35-$C$24)+1)))*IF((R$35-$C$24)&lt;Drivers!$C$87,1,Drivers!$C$88*Drivers!$C$89^((R$35-$C$24)-Drivers!$C$87))*$E$24</f>
        <v>4.753200984</v>
      </c>
      <c r="S54" s="24" t="n">
        <f aca="false">$D$24*$C$15*IF((S$35-$C$24)&lt;0,0,IF((S$35-$C$24)&gt;=7,1,INDEX(Drivers!$D$86:$J$86,(S$35-$C$24)+1)))*IF((S$35-$C$24)&lt;Drivers!$C$87,1,Drivers!$C$88*Drivers!$C$89^((S$35-$C$24)-Drivers!$C$87))*$E$24</f>
        <v>4.61060495448</v>
      </c>
      <c r="T54" s="24" t="n">
        <f aca="false">$D$24*$C$15*IF((T$35-$C$24)&lt;0,0,IF((T$35-$C$24)&gt;=7,1,INDEX(Drivers!$D$86:$J$86,(T$35-$C$24)+1)))*IF((T$35-$C$24)&lt;Drivers!$C$87,1,Drivers!$C$88*Drivers!$C$89^((T$35-$C$24)-Drivers!$C$87))*$E$24</f>
        <v>4.4722868058456</v>
      </c>
      <c r="U54" s="24" t="n">
        <f aca="false">$D$24*$C$15*IF((U$35-$C$24)&lt;0,0,IF((U$35-$C$24)&gt;=7,1,INDEX(Drivers!$D$86:$J$86,(U$35-$C$24)+1)))*IF((U$35-$C$24)&lt;Drivers!$C$87,1,Drivers!$C$88*Drivers!$C$89^((U$35-$C$24)-Drivers!$C$87))*$E$24</f>
        <v>4.33811820167023</v>
      </c>
    </row>
    <row r="55" customFormat="false" ht="15" hidden="false" customHeight="false" outlineLevel="0" collapsed="false">
      <c r="A55" s="9" t="s">
        <v>344</v>
      </c>
      <c r="B55" s="35" t="s">
        <v>326</v>
      </c>
      <c r="C55" s="24" t="n">
        <f aca="false">$D$25*$C$15*IF((C$35-$C$25)&lt;0,0,IF((C$35-$C$25)&gt;=7,1,INDEX(Drivers!$D$86:$J$86,(C$35-$C$25)+1)))*IF((C$35-$C$25)&lt;Drivers!$C$87,1,Drivers!$C$88*Drivers!$C$89^((C$35-$C$25)-Drivers!$C$87))*$E$25</f>
        <v>0</v>
      </c>
      <c r="D55" s="24" t="n">
        <f aca="false">$D$25*$C$15*IF((D$35-$C$25)&lt;0,0,IF((D$35-$C$25)&gt;=7,1,INDEX(Drivers!$D$86:$J$86,(D$35-$C$25)+1)))*IF((D$35-$C$25)&lt;Drivers!$C$87,1,Drivers!$C$88*Drivers!$C$89^((D$35-$C$25)-Drivers!$C$87))*$E$25</f>
        <v>0</v>
      </c>
      <c r="E55" s="24" t="n">
        <f aca="false">$D$25*$C$15*IF((E$35-$C$25)&lt;0,0,IF((E$35-$C$25)&gt;=7,1,INDEX(Drivers!$D$86:$J$86,(E$35-$C$25)+1)))*IF((E$35-$C$25)&lt;Drivers!$C$87,1,Drivers!$C$88*Drivers!$C$89^((E$35-$C$25)-Drivers!$C$87))*$E$25</f>
        <v>0</v>
      </c>
      <c r="F55" s="24" t="n">
        <f aca="false">$D$25*$C$15*IF((F$35-$C$25)&lt;0,0,IF((F$35-$C$25)&gt;=7,1,INDEX(Drivers!$D$86:$J$86,(F$35-$C$25)+1)))*IF((F$35-$C$25)&lt;Drivers!$C$87,1,Drivers!$C$88*Drivers!$C$89^((F$35-$C$25)-Drivers!$C$87))*$E$25</f>
        <v>0</v>
      </c>
      <c r="G55" s="24" t="n">
        <f aca="false">$D$25*$C$15*IF((G$35-$C$25)&lt;0,0,IF((G$35-$C$25)&gt;=7,1,INDEX(Drivers!$D$86:$J$86,(G$35-$C$25)+1)))*IF((G$35-$C$25)&lt;Drivers!$C$87,1,Drivers!$C$88*Drivers!$C$89^((G$35-$C$25)-Drivers!$C$87))*$E$25</f>
        <v>0.3217536</v>
      </c>
      <c r="H55" s="24" t="n">
        <f aca="false">$D$25*$C$15*IF((H$35-$C$25)&lt;0,0,IF((H$35-$C$25)&gt;=7,1,INDEX(Drivers!$D$86:$J$86,(H$35-$C$25)+1)))*IF((H$35-$C$25)&lt;Drivers!$C$87,1,Drivers!$C$88*Drivers!$C$89^((H$35-$C$25)-Drivers!$C$87))*$E$25</f>
        <v>1.00548</v>
      </c>
      <c r="I55" s="24" t="n">
        <f aca="false">$D$25*$C$15*IF((I$35-$C$25)&lt;0,0,IF((I$35-$C$25)&gt;=7,1,INDEX(Drivers!$D$86:$J$86,(I$35-$C$25)+1)))*IF((I$35-$C$25)&lt;Drivers!$C$87,1,Drivers!$C$88*Drivers!$C$89^((I$35-$C$25)-Drivers!$C$87))*$E$25</f>
        <v>1.809864</v>
      </c>
      <c r="J55" s="24" t="n">
        <f aca="false">$D$25*$C$15*IF((J$35-$C$25)&lt;0,0,IF((J$35-$C$25)&gt;=7,1,INDEX(Drivers!$D$86:$J$86,(J$35-$C$25)+1)))*IF((J$35-$C$25)&lt;Drivers!$C$87,1,Drivers!$C$88*Drivers!$C$89^((J$35-$C$25)-Drivers!$C$87))*$E$25</f>
        <v>2.614248</v>
      </c>
      <c r="K55" s="24" t="n">
        <f aca="false">$D$25*$C$15*IF((K$35-$C$25)&lt;0,0,IF((K$35-$C$25)&gt;=7,1,INDEX(Drivers!$D$86:$J$86,(K$35-$C$25)+1)))*IF((K$35-$C$25)&lt;Drivers!$C$87,1,Drivers!$C$88*Drivers!$C$89^((K$35-$C$25)-Drivers!$C$87))*$E$25</f>
        <v>3.2979744</v>
      </c>
      <c r="L55" s="24" t="n">
        <f aca="false">$D$25*$C$15*IF((L$35-$C$25)&lt;0,0,IF((L$35-$C$25)&gt;=7,1,INDEX(Drivers!$D$86:$J$86,(L$35-$C$25)+1)))*IF((L$35-$C$25)&lt;Drivers!$C$87,1,Drivers!$C$88*Drivers!$C$89^((L$35-$C$25)-Drivers!$C$87))*$E$25</f>
        <v>3.7403856</v>
      </c>
      <c r="M55" s="24" t="n">
        <f aca="false">$D$25*$C$15*IF((M$35-$C$25)&lt;0,0,IF((M$35-$C$25)&gt;=7,1,INDEX(Drivers!$D$86:$J$86,(M$35-$C$25)+1)))*IF((M$35-$C$25)&lt;Drivers!$C$87,1,Drivers!$C$88*Drivers!$C$89^((M$35-$C$25)-Drivers!$C$87))*$E$25</f>
        <v>4.02192</v>
      </c>
      <c r="N55" s="24" t="n">
        <f aca="false">$D$25*$C$15*IF((N$35-$C$25)&lt;0,0,IF((N$35-$C$25)&gt;=7,1,INDEX(Drivers!$D$86:$J$86,(N$35-$C$25)+1)))*IF((N$35-$C$25)&lt;Drivers!$C$87,1,Drivers!$C$88*Drivers!$C$89^((N$35-$C$25)-Drivers!$C$87))*$E$25</f>
        <v>4.02192</v>
      </c>
      <c r="O55" s="24" t="n">
        <f aca="false">$D$25*$C$15*IF((O$35-$C$25)&lt;0,0,IF((O$35-$C$25)&gt;=7,1,INDEX(Drivers!$D$86:$J$86,(O$35-$C$25)+1)))*IF((O$35-$C$25)&lt;Drivers!$C$87,1,Drivers!$C$88*Drivers!$C$89^((O$35-$C$25)-Drivers!$C$87))*$E$25</f>
        <v>4.02192</v>
      </c>
      <c r="P55" s="24" t="n">
        <f aca="false">$D$25*$C$15*IF((P$35-$C$25)&lt;0,0,IF((P$35-$C$25)&gt;=7,1,INDEX(Drivers!$D$86:$J$86,(P$35-$C$25)+1)))*IF((P$35-$C$25)&lt;Drivers!$C$87,1,Drivers!$C$88*Drivers!$C$89^((P$35-$C$25)-Drivers!$C$87))*$E$25</f>
        <v>4.02192</v>
      </c>
      <c r="Q55" s="24" t="n">
        <f aca="false">$D$25*$C$15*IF((Q$35-$C$25)&lt;0,0,IF((Q$35-$C$25)&gt;=7,1,INDEX(Drivers!$D$86:$J$86,(Q$35-$C$25)+1)))*IF((Q$35-$C$25)&lt;Drivers!$C$87,1,Drivers!$C$88*Drivers!$C$89^((Q$35-$C$25)-Drivers!$C$87))*$E$25</f>
        <v>4.02192</v>
      </c>
      <c r="R55" s="24" t="n">
        <f aca="false">$D$25*$C$15*IF((R$35-$C$25)&lt;0,0,IF((R$35-$C$25)&gt;=7,1,INDEX(Drivers!$D$86:$J$86,(R$35-$C$25)+1)))*IF((R$35-$C$25)&lt;Drivers!$C$87,1,Drivers!$C$88*Drivers!$C$89^((R$35-$C$25)-Drivers!$C$87))*$E$25</f>
        <v>4.02192</v>
      </c>
      <c r="S55" s="24" t="n">
        <f aca="false">$D$25*$C$15*IF((S$35-$C$25)&lt;0,0,IF((S$35-$C$25)&gt;=7,1,INDEX(Drivers!$D$86:$J$86,(S$35-$C$25)+1)))*IF((S$35-$C$25)&lt;Drivers!$C$87,1,Drivers!$C$88*Drivers!$C$89^((S$35-$C$25)-Drivers!$C$87))*$E$25</f>
        <v>3.217536</v>
      </c>
      <c r="T55" s="24" t="n">
        <f aca="false">$D$25*$C$15*IF((T$35-$C$25)&lt;0,0,IF((T$35-$C$25)&gt;=7,1,INDEX(Drivers!$D$86:$J$86,(T$35-$C$25)+1)))*IF((T$35-$C$25)&lt;Drivers!$C$87,1,Drivers!$C$88*Drivers!$C$89^((T$35-$C$25)-Drivers!$C$87))*$E$25</f>
        <v>3.12100992</v>
      </c>
      <c r="U55" s="24" t="n">
        <f aca="false">$D$25*$C$15*IF((U$35-$C$25)&lt;0,0,IF((U$35-$C$25)&gt;=7,1,INDEX(Drivers!$D$86:$J$86,(U$35-$C$25)+1)))*IF((U$35-$C$25)&lt;Drivers!$C$87,1,Drivers!$C$88*Drivers!$C$89^((U$35-$C$25)-Drivers!$C$87))*$E$25</f>
        <v>3.0273796224</v>
      </c>
    </row>
    <row r="56" customFormat="false" ht="15" hidden="false" customHeight="false" outlineLevel="0" collapsed="false">
      <c r="A56" s="9" t="s">
        <v>345</v>
      </c>
      <c r="B56" s="35" t="s">
        <v>326</v>
      </c>
      <c r="C56" s="24" t="n">
        <f aca="false">$D$26*$C$15*IF((C$35-$C$26)&lt;0,0,IF((C$35-$C$26)&gt;=7,1,INDEX(Drivers!$D$86:$J$86,(C$35-$C$26)+1)))*IF((C$35-$C$26)&lt;Drivers!$C$87,1,Drivers!$C$88*Drivers!$C$89^((C$35-$C$26)-Drivers!$C$87))*$E$26</f>
        <v>0</v>
      </c>
      <c r="D56" s="24" t="n">
        <f aca="false">$D$26*$C$15*IF((D$35-$C$26)&lt;0,0,IF((D$35-$C$26)&gt;=7,1,INDEX(Drivers!$D$86:$J$86,(D$35-$C$26)+1)))*IF((D$35-$C$26)&lt;Drivers!$C$87,1,Drivers!$C$88*Drivers!$C$89^((D$35-$C$26)-Drivers!$C$87))*$E$26</f>
        <v>0</v>
      </c>
      <c r="E56" s="24" t="n">
        <f aca="false">$D$26*$C$15*IF((E$35-$C$26)&lt;0,0,IF((E$35-$C$26)&gt;=7,1,INDEX(Drivers!$D$86:$J$86,(E$35-$C$26)+1)))*IF((E$35-$C$26)&lt;Drivers!$C$87,1,Drivers!$C$88*Drivers!$C$89^((E$35-$C$26)-Drivers!$C$87))*$E$26</f>
        <v>0</v>
      </c>
      <c r="F56" s="24" t="n">
        <f aca="false">$D$26*$C$15*IF((F$35-$C$26)&lt;0,0,IF((F$35-$C$26)&gt;=7,1,INDEX(Drivers!$D$86:$J$86,(F$35-$C$26)+1)))*IF((F$35-$C$26)&lt;Drivers!$C$87,1,Drivers!$C$88*Drivers!$C$89^((F$35-$C$26)-Drivers!$C$87))*$E$26</f>
        <v>0</v>
      </c>
      <c r="G56" s="24" t="n">
        <f aca="false">$D$26*$C$15*IF((G$35-$C$26)&lt;0,0,IF((G$35-$C$26)&gt;=7,1,INDEX(Drivers!$D$86:$J$86,(G$35-$C$26)+1)))*IF((G$35-$C$26)&lt;Drivers!$C$87,1,Drivers!$C$88*Drivers!$C$89^((G$35-$C$26)-Drivers!$C$87))*$E$26</f>
        <v>0</v>
      </c>
      <c r="H56" s="24" t="n">
        <f aca="false">$D$26*$C$15*IF((H$35-$C$26)&lt;0,0,IF((H$35-$C$26)&gt;=7,1,INDEX(Drivers!$D$86:$J$86,(H$35-$C$26)+1)))*IF((H$35-$C$26)&lt;Drivers!$C$87,1,Drivers!$C$88*Drivers!$C$89^((H$35-$C$26)-Drivers!$C$87))*$E$26</f>
        <v>0</v>
      </c>
      <c r="I56" s="24" t="n">
        <f aca="false">$D$26*$C$15*IF((I$35-$C$26)&lt;0,0,IF((I$35-$C$26)&gt;=7,1,INDEX(Drivers!$D$86:$J$86,(I$35-$C$26)+1)))*IF((I$35-$C$26)&lt;Drivers!$C$87,1,Drivers!$C$88*Drivers!$C$89^((I$35-$C$26)-Drivers!$C$87))*$E$26</f>
        <v>0</v>
      </c>
      <c r="J56" s="24" t="n">
        <f aca="false">$D$26*$C$15*IF((J$35-$C$26)&lt;0,0,IF((J$35-$C$26)&gt;=7,1,INDEX(Drivers!$D$86:$J$86,(J$35-$C$26)+1)))*IF((J$35-$C$26)&lt;Drivers!$C$87,1,Drivers!$C$88*Drivers!$C$89^((J$35-$C$26)-Drivers!$C$87))*$E$26</f>
        <v>0.1072512</v>
      </c>
      <c r="K56" s="24" t="n">
        <f aca="false">$D$26*$C$15*IF((K$35-$C$26)&lt;0,0,IF((K$35-$C$26)&gt;=7,1,INDEX(Drivers!$D$86:$J$86,(K$35-$C$26)+1)))*IF((K$35-$C$26)&lt;Drivers!$C$87,1,Drivers!$C$88*Drivers!$C$89^((K$35-$C$26)-Drivers!$C$87))*$E$26</f>
        <v>0.33516</v>
      </c>
      <c r="L56" s="24" t="n">
        <f aca="false">$D$26*$C$15*IF((L$35-$C$26)&lt;0,0,IF((L$35-$C$26)&gt;=7,1,INDEX(Drivers!$D$86:$J$86,(L$35-$C$26)+1)))*IF((L$35-$C$26)&lt;Drivers!$C$87,1,Drivers!$C$88*Drivers!$C$89^((L$35-$C$26)-Drivers!$C$87))*$E$26</f>
        <v>0.603288</v>
      </c>
      <c r="M56" s="24" t="n">
        <f aca="false">$D$26*$C$15*IF((M$35-$C$26)&lt;0,0,IF((M$35-$C$26)&gt;=7,1,INDEX(Drivers!$D$86:$J$86,(M$35-$C$26)+1)))*IF((M$35-$C$26)&lt;Drivers!$C$87,1,Drivers!$C$88*Drivers!$C$89^((M$35-$C$26)-Drivers!$C$87))*$E$26</f>
        <v>0.871416</v>
      </c>
      <c r="N56" s="24" t="n">
        <f aca="false">$D$26*$C$15*IF((N$35-$C$26)&lt;0,0,IF((N$35-$C$26)&gt;=7,1,INDEX(Drivers!$D$86:$J$86,(N$35-$C$26)+1)))*IF((N$35-$C$26)&lt;Drivers!$C$87,1,Drivers!$C$88*Drivers!$C$89^((N$35-$C$26)-Drivers!$C$87))*$E$26</f>
        <v>1.0993248</v>
      </c>
      <c r="O56" s="24" t="n">
        <f aca="false">$D$26*$C$15*IF((O$35-$C$26)&lt;0,0,IF((O$35-$C$26)&gt;=7,1,INDEX(Drivers!$D$86:$J$86,(O$35-$C$26)+1)))*IF((O$35-$C$26)&lt;Drivers!$C$87,1,Drivers!$C$88*Drivers!$C$89^((O$35-$C$26)-Drivers!$C$87))*$E$26</f>
        <v>1.2467952</v>
      </c>
      <c r="P56" s="24" t="n">
        <f aca="false">$D$26*$C$15*IF((P$35-$C$26)&lt;0,0,IF((P$35-$C$26)&gt;=7,1,INDEX(Drivers!$D$86:$J$86,(P$35-$C$26)+1)))*IF((P$35-$C$26)&lt;Drivers!$C$87,1,Drivers!$C$88*Drivers!$C$89^((P$35-$C$26)-Drivers!$C$87))*$E$26</f>
        <v>1.34064</v>
      </c>
      <c r="Q56" s="24" t="n">
        <f aca="false">$D$26*$C$15*IF((Q$35-$C$26)&lt;0,0,IF((Q$35-$C$26)&gt;=7,1,INDEX(Drivers!$D$86:$J$86,(Q$35-$C$26)+1)))*IF((Q$35-$C$26)&lt;Drivers!$C$87,1,Drivers!$C$88*Drivers!$C$89^((Q$35-$C$26)-Drivers!$C$87))*$E$26</f>
        <v>1.34064</v>
      </c>
      <c r="R56" s="24" t="n">
        <f aca="false">$D$26*$C$15*IF((R$35-$C$26)&lt;0,0,IF((R$35-$C$26)&gt;=7,1,INDEX(Drivers!$D$86:$J$86,(R$35-$C$26)+1)))*IF((R$35-$C$26)&lt;Drivers!$C$87,1,Drivers!$C$88*Drivers!$C$89^((R$35-$C$26)-Drivers!$C$87))*$E$26</f>
        <v>1.34064</v>
      </c>
      <c r="S56" s="24" t="n">
        <f aca="false">$D$26*$C$15*IF((S$35-$C$26)&lt;0,0,IF((S$35-$C$26)&gt;=7,1,INDEX(Drivers!$D$86:$J$86,(S$35-$C$26)+1)))*IF((S$35-$C$26)&lt;Drivers!$C$87,1,Drivers!$C$88*Drivers!$C$89^((S$35-$C$26)-Drivers!$C$87))*$E$26</f>
        <v>1.34064</v>
      </c>
      <c r="T56" s="24" t="n">
        <f aca="false">$D$26*$C$15*IF((T$35-$C$26)&lt;0,0,IF((T$35-$C$26)&gt;=7,1,INDEX(Drivers!$D$86:$J$86,(T$35-$C$26)+1)))*IF((T$35-$C$26)&lt;Drivers!$C$87,1,Drivers!$C$88*Drivers!$C$89^((T$35-$C$26)-Drivers!$C$87))*$E$26</f>
        <v>1.34064</v>
      </c>
      <c r="U56" s="24" t="n">
        <f aca="false">$D$26*$C$15*IF((U$35-$C$26)&lt;0,0,IF((U$35-$C$26)&gt;=7,1,INDEX(Drivers!$D$86:$J$86,(U$35-$C$26)+1)))*IF((U$35-$C$26)&lt;Drivers!$C$87,1,Drivers!$C$88*Drivers!$C$89^((U$35-$C$26)-Drivers!$C$87))*$E$26</f>
        <v>1.34064</v>
      </c>
    </row>
    <row r="57" customFormat="false" ht="15" hidden="false" customHeight="false" outlineLevel="0" collapsed="false">
      <c r="A57" s="9" t="s">
        <v>346</v>
      </c>
      <c r="B57" s="35" t="s">
        <v>326</v>
      </c>
      <c r="C57" s="24" t="n">
        <f aca="false">$D$27*$C$15*IF((C$35-$C$27)&lt;0,0,IF((C$35-$C$27)&gt;=7,1,INDEX(Drivers!$D$86:$J$86,(C$35-$C$27)+1)))*IF((C$35-$C$27)&lt;Drivers!$C$87,1,Drivers!$C$88*Drivers!$C$89^((C$35-$C$27)-Drivers!$C$87))*$E$27</f>
        <v>0</v>
      </c>
      <c r="D57" s="24" t="n">
        <f aca="false">$D$27*$C$15*IF((D$35-$C$27)&lt;0,0,IF((D$35-$C$27)&gt;=7,1,INDEX(Drivers!$D$86:$J$86,(D$35-$C$27)+1)))*IF((D$35-$C$27)&lt;Drivers!$C$87,1,Drivers!$C$88*Drivers!$C$89^((D$35-$C$27)-Drivers!$C$87))*$E$27</f>
        <v>0</v>
      </c>
      <c r="E57" s="24" t="n">
        <f aca="false">$D$27*$C$15*IF((E$35-$C$27)&lt;0,0,IF((E$35-$C$27)&gt;=7,1,INDEX(Drivers!$D$86:$J$86,(E$35-$C$27)+1)))*IF((E$35-$C$27)&lt;Drivers!$C$87,1,Drivers!$C$88*Drivers!$C$89^((E$35-$C$27)-Drivers!$C$87))*$E$27</f>
        <v>0</v>
      </c>
      <c r="F57" s="24" t="n">
        <f aca="false">$D$27*$C$15*IF((F$35-$C$27)&lt;0,0,IF((F$35-$C$27)&gt;=7,1,INDEX(Drivers!$D$86:$J$86,(F$35-$C$27)+1)))*IF((F$35-$C$27)&lt;Drivers!$C$87,1,Drivers!$C$88*Drivers!$C$89^((F$35-$C$27)-Drivers!$C$87))*$E$27</f>
        <v>0</v>
      </c>
      <c r="G57" s="24" t="n">
        <f aca="false">$D$27*$C$15*IF((G$35-$C$27)&lt;0,0,IF((G$35-$C$27)&gt;=7,1,INDEX(Drivers!$D$86:$J$86,(G$35-$C$27)+1)))*IF((G$35-$C$27)&lt;Drivers!$C$87,1,Drivers!$C$88*Drivers!$C$89^((G$35-$C$27)-Drivers!$C$87))*$E$27</f>
        <v>0</v>
      </c>
      <c r="H57" s="24" t="n">
        <f aca="false">$D$27*$C$15*IF((H$35-$C$27)&lt;0,0,IF((H$35-$C$27)&gt;=7,1,INDEX(Drivers!$D$86:$J$86,(H$35-$C$27)+1)))*IF((H$35-$C$27)&lt;Drivers!$C$87,1,Drivers!$C$88*Drivers!$C$89^((H$35-$C$27)-Drivers!$C$87))*$E$27</f>
        <v>0</v>
      </c>
      <c r="I57" s="24" t="n">
        <f aca="false">$D$27*$C$15*IF((I$35-$C$27)&lt;0,0,IF((I$35-$C$27)&gt;=7,1,INDEX(Drivers!$D$86:$J$86,(I$35-$C$27)+1)))*IF((I$35-$C$27)&lt;Drivers!$C$87,1,Drivers!$C$88*Drivers!$C$89^((I$35-$C$27)-Drivers!$C$87))*$E$27</f>
        <v>0</v>
      </c>
      <c r="J57" s="24" t="n">
        <f aca="false">$D$27*$C$15*IF((J$35-$C$27)&lt;0,0,IF((J$35-$C$27)&gt;=7,1,INDEX(Drivers!$D$86:$J$86,(J$35-$C$27)+1)))*IF((J$35-$C$27)&lt;Drivers!$C$87,1,Drivers!$C$88*Drivers!$C$89^((J$35-$C$27)-Drivers!$C$87))*$E$27</f>
        <v>0</v>
      </c>
      <c r="K57" s="24" t="n">
        <f aca="false">$D$27*$C$15*IF((K$35-$C$27)&lt;0,0,IF((K$35-$C$27)&gt;=7,1,INDEX(Drivers!$D$86:$J$86,(K$35-$C$27)+1)))*IF((K$35-$C$27)&lt;Drivers!$C$87,1,Drivers!$C$88*Drivers!$C$89^((K$35-$C$27)-Drivers!$C$87))*$E$27</f>
        <v>0.156408</v>
      </c>
      <c r="L57" s="24" t="n">
        <f aca="false">$D$27*$C$15*IF((L$35-$C$27)&lt;0,0,IF((L$35-$C$27)&gt;=7,1,INDEX(Drivers!$D$86:$J$86,(L$35-$C$27)+1)))*IF((L$35-$C$27)&lt;Drivers!$C$87,1,Drivers!$C$88*Drivers!$C$89^((L$35-$C$27)-Drivers!$C$87))*$E$27</f>
        <v>0.488775</v>
      </c>
      <c r="M57" s="24" t="n">
        <f aca="false">$D$27*$C$15*IF((M$35-$C$27)&lt;0,0,IF((M$35-$C$27)&gt;=7,1,INDEX(Drivers!$D$86:$J$86,(M$35-$C$27)+1)))*IF((M$35-$C$27)&lt;Drivers!$C$87,1,Drivers!$C$88*Drivers!$C$89^((M$35-$C$27)-Drivers!$C$87))*$E$27</f>
        <v>0.879795</v>
      </c>
      <c r="N57" s="24" t="n">
        <f aca="false">$D$27*$C$15*IF((N$35-$C$27)&lt;0,0,IF((N$35-$C$27)&gt;=7,1,INDEX(Drivers!$D$86:$J$86,(N$35-$C$27)+1)))*IF((N$35-$C$27)&lt;Drivers!$C$87,1,Drivers!$C$88*Drivers!$C$89^((N$35-$C$27)-Drivers!$C$87))*$E$27</f>
        <v>1.270815</v>
      </c>
      <c r="O57" s="24" t="n">
        <f aca="false">$D$27*$C$15*IF((O$35-$C$27)&lt;0,0,IF((O$35-$C$27)&gt;=7,1,INDEX(Drivers!$D$86:$J$86,(O$35-$C$27)+1)))*IF((O$35-$C$27)&lt;Drivers!$C$87,1,Drivers!$C$88*Drivers!$C$89^((O$35-$C$27)-Drivers!$C$87))*$E$27</f>
        <v>1.603182</v>
      </c>
      <c r="P57" s="24" t="n">
        <f aca="false">$D$27*$C$15*IF((P$35-$C$27)&lt;0,0,IF((P$35-$C$27)&gt;=7,1,INDEX(Drivers!$D$86:$J$86,(P$35-$C$27)+1)))*IF((P$35-$C$27)&lt;Drivers!$C$87,1,Drivers!$C$88*Drivers!$C$89^((P$35-$C$27)-Drivers!$C$87))*$E$27</f>
        <v>1.818243</v>
      </c>
      <c r="Q57" s="24" t="n">
        <f aca="false">$D$27*$C$15*IF((Q$35-$C$27)&lt;0,0,IF((Q$35-$C$27)&gt;=7,1,INDEX(Drivers!$D$86:$J$86,(Q$35-$C$27)+1)))*IF((Q$35-$C$27)&lt;Drivers!$C$87,1,Drivers!$C$88*Drivers!$C$89^((Q$35-$C$27)-Drivers!$C$87))*$E$27</f>
        <v>1.9551</v>
      </c>
      <c r="R57" s="24" t="n">
        <f aca="false">$D$27*$C$15*IF((R$35-$C$27)&lt;0,0,IF((R$35-$C$27)&gt;=7,1,INDEX(Drivers!$D$86:$J$86,(R$35-$C$27)+1)))*IF((R$35-$C$27)&lt;Drivers!$C$87,1,Drivers!$C$88*Drivers!$C$89^((R$35-$C$27)-Drivers!$C$87))*$E$27</f>
        <v>1.9551</v>
      </c>
      <c r="S57" s="24" t="n">
        <f aca="false">$D$27*$C$15*IF((S$35-$C$27)&lt;0,0,IF((S$35-$C$27)&gt;=7,1,INDEX(Drivers!$D$86:$J$86,(S$35-$C$27)+1)))*IF((S$35-$C$27)&lt;Drivers!$C$87,1,Drivers!$C$88*Drivers!$C$89^((S$35-$C$27)-Drivers!$C$87))*$E$27</f>
        <v>1.9551</v>
      </c>
      <c r="T57" s="24" t="n">
        <f aca="false">$D$27*$C$15*IF((T$35-$C$27)&lt;0,0,IF((T$35-$C$27)&gt;=7,1,INDEX(Drivers!$D$86:$J$86,(T$35-$C$27)+1)))*IF((T$35-$C$27)&lt;Drivers!$C$87,1,Drivers!$C$88*Drivers!$C$89^((T$35-$C$27)-Drivers!$C$87))*$E$27</f>
        <v>1.9551</v>
      </c>
      <c r="U57" s="24" t="n">
        <f aca="false">$D$27*$C$15*IF((U$35-$C$27)&lt;0,0,IF((U$35-$C$27)&gt;=7,1,INDEX(Drivers!$D$86:$J$86,(U$35-$C$27)+1)))*IF((U$35-$C$27)&lt;Drivers!$C$87,1,Drivers!$C$88*Drivers!$C$89^((U$35-$C$27)-Drivers!$C$87))*$E$27</f>
        <v>1.9551</v>
      </c>
    </row>
    <row r="58" customFormat="false" ht="15" hidden="false" customHeight="false" outlineLevel="0" collapsed="false">
      <c r="A58" s="9" t="s">
        <v>347</v>
      </c>
      <c r="B58" s="35" t="s">
        <v>326</v>
      </c>
      <c r="C58" s="24" t="n">
        <f aca="false">$D$28*$C$15*IF((C$35-$C$28)&lt;0,0,IF((C$35-$C$28)&gt;=7,1,INDEX(Drivers!$D$86:$J$86,(C$35-$C$28)+1)))*IF((C$35-$C$28)&lt;Drivers!$C$87,1,Drivers!$C$88*Drivers!$C$89^((C$35-$C$28)-Drivers!$C$87))*$E$28</f>
        <v>0</v>
      </c>
      <c r="D58" s="24" t="n">
        <f aca="false">$D$28*$C$15*IF((D$35-$C$28)&lt;0,0,IF((D$35-$C$28)&gt;=7,1,INDEX(Drivers!$D$86:$J$86,(D$35-$C$28)+1)))*IF((D$35-$C$28)&lt;Drivers!$C$87,1,Drivers!$C$88*Drivers!$C$89^((D$35-$C$28)-Drivers!$C$87))*$E$28</f>
        <v>0</v>
      </c>
      <c r="E58" s="24" t="n">
        <f aca="false">$D$28*$C$15*IF((E$35-$C$28)&lt;0,0,IF((E$35-$C$28)&gt;=7,1,INDEX(Drivers!$D$86:$J$86,(E$35-$C$28)+1)))*IF((E$35-$C$28)&lt;Drivers!$C$87,1,Drivers!$C$88*Drivers!$C$89^((E$35-$C$28)-Drivers!$C$87))*$E$28</f>
        <v>0</v>
      </c>
      <c r="F58" s="24" t="n">
        <f aca="false">$D$28*$C$15*IF((F$35-$C$28)&lt;0,0,IF((F$35-$C$28)&gt;=7,1,INDEX(Drivers!$D$86:$J$86,(F$35-$C$28)+1)))*IF((F$35-$C$28)&lt;Drivers!$C$87,1,Drivers!$C$88*Drivers!$C$89^((F$35-$C$28)-Drivers!$C$87))*$E$28</f>
        <v>0</v>
      </c>
      <c r="G58" s="24" t="n">
        <f aca="false">$D$28*$C$15*IF((G$35-$C$28)&lt;0,0,IF((G$35-$C$28)&gt;=7,1,INDEX(Drivers!$D$86:$J$86,(G$35-$C$28)+1)))*IF((G$35-$C$28)&lt;Drivers!$C$87,1,Drivers!$C$88*Drivers!$C$89^((G$35-$C$28)-Drivers!$C$87))*$E$28</f>
        <v>0.0536256</v>
      </c>
      <c r="H58" s="24" t="n">
        <f aca="false">$D$28*$C$15*IF((H$35-$C$28)&lt;0,0,IF((H$35-$C$28)&gt;=7,1,INDEX(Drivers!$D$86:$J$86,(H$35-$C$28)+1)))*IF((H$35-$C$28)&lt;Drivers!$C$87,1,Drivers!$C$88*Drivers!$C$89^((H$35-$C$28)-Drivers!$C$87))*$E$28</f>
        <v>0.16758</v>
      </c>
      <c r="I58" s="24" t="n">
        <f aca="false">$D$28*$C$15*IF((I$35-$C$28)&lt;0,0,IF((I$35-$C$28)&gt;=7,1,INDEX(Drivers!$D$86:$J$86,(I$35-$C$28)+1)))*IF((I$35-$C$28)&lt;Drivers!$C$87,1,Drivers!$C$88*Drivers!$C$89^((I$35-$C$28)-Drivers!$C$87))*$E$28</f>
        <v>0.301644</v>
      </c>
      <c r="J58" s="24" t="n">
        <f aca="false">$D$28*$C$15*IF((J$35-$C$28)&lt;0,0,IF((J$35-$C$28)&gt;=7,1,INDEX(Drivers!$D$86:$J$86,(J$35-$C$28)+1)))*IF((J$35-$C$28)&lt;Drivers!$C$87,1,Drivers!$C$88*Drivers!$C$89^((J$35-$C$28)-Drivers!$C$87))*$E$28</f>
        <v>0.435708</v>
      </c>
      <c r="K58" s="24" t="n">
        <f aca="false">$D$28*$C$15*IF((K$35-$C$28)&lt;0,0,IF((K$35-$C$28)&gt;=7,1,INDEX(Drivers!$D$86:$J$86,(K$35-$C$28)+1)))*IF((K$35-$C$28)&lt;Drivers!$C$87,1,Drivers!$C$88*Drivers!$C$89^((K$35-$C$28)-Drivers!$C$87))*$E$28</f>
        <v>0.5496624</v>
      </c>
      <c r="L58" s="24" t="n">
        <f aca="false">$D$28*$C$15*IF((L$35-$C$28)&lt;0,0,IF((L$35-$C$28)&gt;=7,1,INDEX(Drivers!$D$86:$J$86,(L$35-$C$28)+1)))*IF((L$35-$C$28)&lt;Drivers!$C$87,1,Drivers!$C$88*Drivers!$C$89^((L$35-$C$28)-Drivers!$C$87))*$E$28</f>
        <v>0.6233976</v>
      </c>
      <c r="M58" s="24" t="n">
        <f aca="false">$D$28*$C$15*IF((M$35-$C$28)&lt;0,0,IF((M$35-$C$28)&gt;=7,1,INDEX(Drivers!$D$86:$J$86,(M$35-$C$28)+1)))*IF((M$35-$C$28)&lt;Drivers!$C$87,1,Drivers!$C$88*Drivers!$C$89^((M$35-$C$28)-Drivers!$C$87))*$E$28</f>
        <v>0.67032</v>
      </c>
      <c r="N58" s="24" t="n">
        <f aca="false">$D$28*$C$15*IF((N$35-$C$28)&lt;0,0,IF((N$35-$C$28)&gt;=7,1,INDEX(Drivers!$D$86:$J$86,(N$35-$C$28)+1)))*IF((N$35-$C$28)&lt;Drivers!$C$87,1,Drivers!$C$88*Drivers!$C$89^((N$35-$C$28)-Drivers!$C$87))*$E$28</f>
        <v>0.67032</v>
      </c>
      <c r="O58" s="24" t="n">
        <f aca="false">$D$28*$C$15*IF((O$35-$C$28)&lt;0,0,IF((O$35-$C$28)&gt;=7,1,INDEX(Drivers!$D$86:$J$86,(O$35-$C$28)+1)))*IF((O$35-$C$28)&lt;Drivers!$C$87,1,Drivers!$C$88*Drivers!$C$89^((O$35-$C$28)-Drivers!$C$87))*$E$28</f>
        <v>0.67032</v>
      </c>
      <c r="P58" s="24" t="n">
        <f aca="false">$D$28*$C$15*IF((P$35-$C$28)&lt;0,0,IF((P$35-$C$28)&gt;=7,1,INDEX(Drivers!$D$86:$J$86,(P$35-$C$28)+1)))*IF((P$35-$C$28)&lt;Drivers!$C$87,1,Drivers!$C$88*Drivers!$C$89^((P$35-$C$28)-Drivers!$C$87))*$E$28</f>
        <v>0.67032</v>
      </c>
      <c r="Q58" s="24" t="n">
        <f aca="false">$D$28*$C$15*IF((Q$35-$C$28)&lt;0,0,IF((Q$35-$C$28)&gt;=7,1,INDEX(Drivers!$D$86:$J$86,(Q$35-$C$28)+1)))*IF((Q$35-$C$28)&lt;Drivers!$C$87,1,Drivers!$C$88*Drivers!$C$89^((Q$35-$C$28)-Drivers!$C$87))*$E$28</f>
        <v>0.67032</v>
      </c>
      <c r="R58" s="24" t="n">
        <f aca="false">$D$28*$C$15*IF((R$35-$C$28)&lt;0,0,IF((R$35-$C$28)&gt;=7,1,INDEX(Drivers!$D$86:$J$86,(R$35-$C$28)+1)))*IF((R$35-$C$28)&lt;Drivers!$C$87,1,Drivers!$C$88*Drivers!$C$89^((R$35-$C$28)-Drivers!$C$87))*$E$28</f>
        <v>0.67032</v>
      </c>
      <c r="S58" s="24" t="n">
        <f aca="false">$D$28*$C$15*IF((S$35-$C$28)&lt;0,0,IF((S$35-$C$28)&gt;=7,1,INDEX(Drivers!$D$86:$J$86,(S$35-$C$28)+1)))*IF((S$35-$C$28)&lt;Drivers!$C$87,1,Drivers!$C$88*Drivers!$C$89^((S$35-$C$28)-Drivers!$C$87))*$E$28</f>
        <v>0.536256</v>
      </c>
      <c r="T58" s="24" t="n">
        <f aca="false">$D$28*$C$15*IF((T$35-$C$28)&lt;0,0,IF((T$35-$C$28)&gt;=7,1,INDEX(Drivers!$D$86:$J$86,(T$35-$C$28)+1)))*IF((T$35-$C$28)&lt;Drivers!$C$87,1,Drivers!$C$88*Drivers!$C$89^((T$35-$C$28)-Drivers!$C$87))*$E$28</f>
        <v>0.52016832</v>
      </c>
      <c r="U58" s="24" t="n">
        <f aca="false">$D$28*$C$15*IF((U$35-$C$28)&lt;0,0,IF((U$35-$C$28)&gt;=7,1,INDEX(Drivers!$D$86:$J$86,(U$35-$C$28)+1)))*IF((U$35-$C$28)&lt;Drivers!$C$87,1,Drivers!$C$88*Drivers!$C$89^((U$35-$C$28)-Drivers!$C$87))*$E$28</f>
        <v>0.5045632704</v>
      </c>
    </row>
    <row r="59" customFormat="false" ht="15" hidden="false" customHeight="false" outlineLevel="0" collapsed="false">
      <c r="A59" s="9" t="s">
        <v>348</v>
      </c>
      <c r="B59" s="35" t="s">
        <v>326</v>
      </c>
      <c r="C59" s="24" t="n">
        <f aca="false">$D$29*$C$15*IF((C$35-$C$29)&lt;0,0,IF((C$35-$C$29)&gt;=7,1,INDEX(Drivers!$D$86:$J$86,(C$35-$C$29)+1)))*IF((C$35-$C$29)&lt;Drivers!$C$87,1,Drivers!$C$88*Drivers!$C$89^((C$35-$C$29)-Drivers!$C$87))*$E$29</f>
        <v>0</v>
      </c>
      <c r="D59" s="24" t="n">
        <f aca="false">$D$29*$C$15*IF((D$35-$C$29)&lt;0,0,IF((D$35-$C$29)&gt;=7,1,INDEX(Drivers!$D$86:$J$86,(D$35-$C$29)+1)))*IF((D$35-$C$29)&lt;Drivers!$C$87,1,Drivers!$C$88*Drivers!$C$89^((D$35-$C$29)-Drivers!$C$87))*$E$29</f>
        <v>0</v>
      </c>
      <c r="E59" s="24" t="n">
        <f aca="false">$D$29*$C$15*IF((E$35-$C$29)&lt;0,0,IF((E$35-$C$29)&gt;=7,1,INDEX(Drivers!$D$86:$J$86,(E$35-$C$29)+1)))*IF((E$35-$C$29)&lt;Drivers!$C$87,1,Drivers!$C$88*Drivers!$C$89^((E$35-$C$29)-Drivers!$C$87))*$E$29</f>
        <v>0</v>
      </c>
      <c r="F59" s="24" t="n">
        <f aca="false">$D$29*$C$15*IF((F$35-$C$29)&lt;0,0,IF((F$35-$C$29)&gt;=7,1,INDEX(Drivers!$D$86:$J$86,(F$35-$C$29)+1)))*IF((F$35-$C$29)&lt;Drivers!$C$87,1,Drivers!$C$88*Drivers!$C$89^((F$35-$C$29)-Drivers!$C$87))*$E$29</f>
        <v>0</v>
      </c>
      <c r="G59" s="24" t="n">
        <f aca="false">$D$29*$C$15*IF((G$35-$C$29)&lt;0,0,IF((G$35-$C$29)&gt;=7,1,INDEX(Drivers!$D$86:$J$86,(G$35-$C$29)+1)))*IF((G$35-$C$29)&lt;Drivers!$C$87,1,Drivers!$C$88*Drivers!$C$89^((G$35-$C$29)-Drivers!$C$87))*$E$29</f>
        <v>0</v>
      </c>
      <c r="H59" s="24" t="n">
        <f aca="false">$D$29*$C$15*IF((H$35-$C$29)&lt;0,0,IF((H$35-$C$29)&gt;=7,1,INDEX(Drivers!$D$86:$J$86,(H$35-$C$29)+1)))*IF((H$35-$C$29)&lt;Drivers!$C$87,1,Drivers!$C$88*Drivers!$C$89^((H$35-$C$29)-Drivers!$C$87))*$E$29</f>
        <v>0</v>
      </c>
      <c r="I59" s="24" t="n">
        <f aca="false">$D$29*$C$15*IF((I$35-$C$29)&lt;0,0,IF((I$35-$C$29)&gt;=7,1,INDEX(Drivers!$D$86:$J$86,(I$35-$C$29)+1)))*IF((I$35-$C$29)&lt;Drivers!$C$87,1,Drivers!$C$88*Drivers!$C$89^((I$35-$C$29)-Drivers!$C$87))*$E$29</f>
        <v>0.0357504</v>
      </c>
      <c r="J59" s="24" t="n">
        <f aca="false">$D$29*$C$15*IF((J$35-$C$29)&lt;0,0,IF((J$35-$C$29)&gt;=7,1,INDEX(Drivers!$D$86:$J$86,(J$35-$C$29)+1)))*IF((J$35-$C$29)&lt;Drivers!$C$87,1,Drivers!$C$88*Drivers!$C$89^((J$35-$C$29)-Drivers!$C$87))*$E$29</f>
        <v>0.11172</v>
      </c>
      <c r="K59" s="24" t="n">
        <f aca="false">$D$29*$C$15*IF((K$35-$C$29)&lt;0,0,IF((K$35-$C$29)&gt;=7,1,INDEX(Drivers!$D$86:$J$86,(K$35-$C$29)+1)))*IF((K$35-$C$29)&lt;Drivers!$C$87,1,Drivers!$C$88*Drivers!$C$89^((K$35-$C$29)-Drivers!$C$87))*$E$29</f>
        <v>0.201096</v>
      </c>
      <c r="L59" s="24" t="n">
        <f aca="false">$D$29*$C$15*IF((L$35-$C$29)&lt;0,0,IF((L$35-$C$29)&gt;=7,1,INDEX(Drivers!$D$86:$J$86,(L$35-$C$29)+1)))*IF((L$35-$C$29)&lt;Drivers!$C$87,1,Drivers!$C$88*Drivers!$C$89^((L$35-$C$29)-Drivers!$C$87))*$E$29</f>
        <v>0.290472</v>
      </c>
      <c r="M59" s="24" t="n">
        <f aca="false">$D$29*$C$15*IF((M$35-$C$29)&lt;0,0,IF((M$35-$C$29)&gt;=7,1,INDEX(Drivers!$D$86:$J$86,(M$35-$C$29)+1)))*IF((M$35-$C$29)&lt;Drivers!$C$87,1,Drivers!$C$88*Drivers!$C$89^((M$35-$C$29)-Drivers!$C$87))*$E$29</f>
        <v>0.3664416</v>
      </c>
      <c r="N59" s="24" t="n">
        <f aca="false">$D$29*$C$15*IF((N$35-$C$29)&lt;0,0,IF((N$35-$C$29)&gt;=7,1,INDEX(Drivers!$D$86:$J$86,(N$35-$C$29)+1)))*IF((N$35-$C$29)&lt;Drivers!$C$87,1,Drivers!$C$88*Drivers!$C$89^((N$35-$C$29)-Drivers!$C$87))*$E$29</f>
        <v>0.4155984</v>
      </c>
      <c r="O59" s="24" t="n">
        <f aca="false">$D$29*$C$15*IF((O$35-$C$29)&lt;0,0,IF((O$35-$C$29)&gt;=7,1,INDEX(Drivers!$D$86:$J$86,(O$35-$C$29)+1)))*IF((O$35-$C$29)&lt;Drivers!$C$87,1,Drivers!$C$88*Drivers!$C$89^((O$35-$C$29)-Drivers!$C$87))*$E$29</f>
        <v>0.44688</v>
      </c>
      <c r="P59" s="24" t="n">
        <f aca="false">$D$29*$C$15*IF((P$35-$C$29)&lt;0,0,IF((P$35-$C$29)&gt;=7,1,INDEX(Drivers!$D$86:$J$86,(P$35-$C$29)+1)))*IF((P$35-$C$29)&lt;Drivers!$C$87,1,Drivers!$C$88*Drivers!$C$89^((P$35-$C$29)-Drivers!$C$87))*$E$29</f>
        <v>0.44688</v>
      </c>
      <c r="Q59" s="24" t="n">
        <f aca="false">$D$29*$C$15*IF((Q$35-$C$29)&lt;0,0,IF((Q$35-$C$29)&gt;=7,1,INDEX(Drivers!$D$86:$J$86,(Q$35-$C$29)+1)))*IF((Q$35-$C$29)&lt;Drivers!$C$87,1,Drivers!$C$88*Drivers!$C$89^((Q$35-$C$29)-Drivers!$C$87))*$E$29</f>
        <v>0.44688</v>
      </c>
      <c r="R59" s="24" t="n">
        <f aca="false">$D$29*$C$15*IF((R$35-$C$29)&lt;0,0,IF((R$35-$C$29)&gt;=7,1,INDEX(Drivers!$D$86:$J$86,(R$35-$C$29)+1)))*IF((R$35-$C$29)&lt;Drivers!$C$87,1,Drivers!$C$88*Drivers!$C$89^((R$35-$C$29)-Drivers!$C$87))*$E$29</f>
        <v>0.44688</v>
      </c>
      <c r="S59" s="24" t="n">
        <f aca="false">$D$29*$C$15*IF((S$35-$C$29)&lt;0,0,IF((S$35-$C$29)&gt;=7,1,INDEX(Drivers!$D$86:$J$86,(S$35-$C$29)+1)))*IF((S$35-$C$29)&lt;Drivers!$C$87,1,Drivers!$C$88*Drivers!$C$89^((S$35-$C$29)-Drivers!$C$87))*$E$29</f>
        <v>0.44688</v>
      </c>
      <c r="T59" s="24" t="n">
        <f aca="false">$D$29*$C$15*IF((T$35-$C$29)&lt;0,0,IF((T$35-$C$29)&gt;=7,1,INDEX(Drivers!$D$86:$J$86,(T$35-$C$29)+1)))*IF((T$35-$C$29)&lt;Drivers!$C$87,1,Drivers!$C$88*Drivers!$C$89^((T$35-$C$29)-Drivers!$C$87))*$E$29</f>
        <v>0.44688</v>
      </c>
      <c r="U59" s="24" t="n">
        <f aca="false">$D$29*$C$15*IF((U$35-$C$29)&lt;0,0,IF((U$35-$C$29)&gt;=7,1,INDEX(Drivers!$D$86:$J$86,(U$35-$C$29)+1)))*IF((U$35-$C$29)&lt;Drivers!$C$87,1,Drivers!$C$88*Drivers!$C$89^((U$35-$C$29)-Drivers!$C$87))*$E$29</f>
        <v>0.357504</v>
      </c>
    </row>
    <row r="60" customFormat="false" ht="15" hidden="false" customHeight="false" outlineLevel="0" collapsed="false">
      <c r="A60" s="9" t="s">
        <v>349</v>
      </c>
      <c r="B60" s="35" t="s">
        <v>326</v>
      </c>
      <c r="C60" s="24" t="n">
        <f aca="false">$D$30*$C$15*IF((C$35-$C$30)&lt;0,0,IF((C$35-$C$30)&gt;=7,1,INDEX(Drivers!$D$86:$J$86,(C$35-$C$30)+1)))*IF((C$35-$C$30)&lt;Drivers!$C$87,1,Drivers!$C$88*Drivers!$C$89^((C$35-$C$30)-Drivers!$C$87))*$E$30</f>
        <v>0</v>
      </c>
      <c r="D60" s="24" t="n">
        <f aca="false">$D$30*$C$15*IF((D$35-$C$30)&lt;0,0,IF((D$35-$C$30)&gt;=7,1,INDEX(Drivers!$D$86:$J$86,(D$35-$C$30)+1)))*IF((D$35-$C$30)&lt;Drivers!$C$87,1,Drivers!$C$88*Drivers!$C$89^((D$35-$C$30)-Drivers!$C$87))*$E$30</f>
        <v>0</v>
      </c>
      <c r="E60" s="24" t="n">
        <f aca="false">$D$30*$C$15*IF((E$35-$C$30)&lt;0,0,IF((E$35-$C$30)&gt;=7,1,INDEX(Drivers!$D$86:$J$86,(E$35-$C$30)+1)))*IF((E$35-$C$30)&lt;Drivers!$C$87,1,Drivers!$C$88*Drivers!$C$89^((E$35-$C$30)-Drivers!$C$87))*$E$30</f>
        <v>0</v>
      </c>
      <c r="F60" s="24" t="n">
        <f aca="false">$D$30*$C$15*IF((F$35-$C$30)&lt;0,0,IF((F$35-$C$30)&gt;=7,1,INDEX(Drivers!$D$86:$J$86,(F$35-$C$30)+1)))*IF((F$35-$C$30)&lt;Drivers!$C$87,1,Drivers!$C$88*Drivers!$C$89^((F$35-$C$30)-Drivers!$C$87))*$E$30</f>
        <v>0</v>
      </c>
      <c r="G60" s="24" t="n">
        <f aca="false">$D$30*$C$15*IF((G$35-$C$30)&lt;0,0,IF((G$35-$C$30)&gt;=7,1,INDEX(Drivers!$D$86:$J$86,(G$35-$C$30)+1)))*IF((G$35-$C$30)&lt;Drivers!$C$87,1,Drivers!$C$88*Drivers!$C$89^((G$35-$C$30)-Drivers!$C$87))*$E$30</f>
        <v>0</v>
      </c>
      <c r="H60" s="24" t="n">
        <f aca="false">$D$30*$C$15*IF((H$35-$C$30)&lt;0,0,IF((H$35-$C$30)&gt;=7,1,INDEX(Drivers!$D$86:$J$86,(H$35-$C$30)+1)))*IF((H$35-$C$30)&lt;Drivers!$C$87,1,Drivers!$C$88*Drivers!$C$89^((H$35-$C$30)-Drivers!$C$87))*$E$30</f>
        <v>0</v>
      </c>
      <c r="I60" s="24" t="n">
        <f aca="false">$D$30*$C$15*IF((I$35-$C$30)&lt;0,0,IF((I$35-$C$30)&gt;=7,1,INDEX(Drivers!$D$86:$J$86,(I$35-$C$30)+1)))*IF((I$35-$C$30)&lt;Drivers!$C$87,1,Drivers!$C$88*Drivers!$C$89^((I$35-$C$30)-Drivers!$C$87))*$E$30</f>
        <v>0</v>
      </c>
      <c r="J60" s="24" t="n">
        <f aca="false">$D$30*$C$15*IF((J$35-$C$30)&lt;0,0,IF((J$35-$C$30)&gt;=7,1,INDEX(Drivers!$D$86:$J$86,(J$35-$C$30)+1)))*IF((J$35-$C$30)&lt;Drivers!$C$87,1,Drivers!$C$88*Drivers!$C$89^((J$35-$C$30)-Drivers!$C$87))*$E$30</f>
        <v>0.0268128</v>
      </c>
      <c r="K60" s="24" t="n">
        <f aca="false">$D$30*$C$15*IF((K$35-$C$30)&lt;0,0,IF((K$35-$C$30)&gt;=7,1,INDEX(Drivers!$D$86:$J$86,(K$35-$C$30)+1)))*IF((K$35-$C$30)&lt;Drivers!$C$87,1,Drivers!$C$88*Drivers!$C$89^((K$35-$C$30)-Drivers!$C$87))*$E$30</f>
        <v>0.08379</v>
      </c>
      <c r="L60" s="24" t="n">
        <f aca="false">$D$30*$C$15*IF((L$35-$C$30)&lt;0,0,IF((L$35-$C$30)&gt;=7,1,INDEX(Drivers!$D$86:$J$86,(L$35-$C$30)+1)))*IF((L$35-$C$30)&lt;Drivers!$C$87,1,Drivers!$C$88*Drivers!$C$89^((L$35-$C$30)-Drivers!$C$87))*$E$30</f>
        <v>0.150822</v>
      </c>
      <c r="M60" s="24" t="n">
        <f aca="false">$D$30*$C$15*IF((M$35-$C$30)&lt;0,0,IF((M$35-$C$30)&gt;=7,1,INDEX(Drivers!$D$86:$J$86,(M$35-$C$30)+1)))*IF((M$35-$C$30)&lt;Drivers!$C$87,1,Drivers!$C$88*Drivers!$C$89^((M$35-$C$30)-Drivers!$C$87))*$E$30</f>
        <v>0.217854</v>
      </c>
      <c r="N60" s="24" t="n">
        <f aca="false">$D$30*$C$15*IF((N$35-$C$30)&lt;0,0,IF((N$35-$C$30)&gt;=7,1,INDEX(Drivers!$D$86:$J$86,(N$35-$C$30)+1)))*IF((N$35-$C$30)&lt;Drivers!$C$87,1,Drivers!$C$88*Drivers!$C$89^((N$35-$C$30)-Drivers!$C$87))*$E$30</f>
        <v>0.2748312</v>
      </c>
      <c r="O60" s="24" t="n">
        <f aca="false">$D$30*$C$15*IF((O$35-$C$30)&lt;0,0,IF((O$35-$C$30)&gt;=7,1,INDEX(Drivers!$D$86:$J$86,(O$35-$C$30)+1)))*IF((O$35-$C$30)&lt;Drivers!$C$87,1,Drivers!$C$88*Drivers!$C$89^((O$35-$C$30)-Drivers!$C$87))*$E$30</f>
        <v>0.3116988</v>
      </c>
      <c r="P60" s="24" t="n">
        <f aca="false">$D$30*$C$15*IF((P$35-$C$30)&lt;0,0,IF((P$35-$C$30)&gt;=7,1,INDEX(Drivers!$D$86:$J$86,(P$35-$C$30)+1)))*IF((P$35-$C$30)&lt;Drivers!$C$87,1,Drivers!$C$88*Drivers!$C$89^((P$35-$C$30)-Drivers!$C$87))*$E$30</f>
        <v>0.33516</v>
      </c>
      <c r="Q60" s="24" t="n">
        <f aca="false">$D$30*$C$15*IF((Q$35-$C$30)&lt;0,0,IF((Q$35-$C$30)&gt;=7,1,INDEX(Drivers!$D$86:$J$86,(Q$35-$C$30)+1)))*IF((Q$35-$C$30)&lt;Drivers!$C$87,1,Drivers!$C$88*Drivers!$C$89^((Q$35-$C$30)-Drivers!$C$87))*$E$30</f>
        <v>0.33516</v>
      </c>
      <c r="R60" s="24" t="n">
        <f aca="false">$D$30*$C$15*IF((R$35-$C$30)&lt;0,0,IF((R$35-$C$30)&gt;=7,1,INDEX(Drivers!$D$86:$J$86,(R$35-$C$30)+1)))*IF((R$35-$C$30)&lt;Drivers!$C$87,1,Drivers!$C$88*Drivers!$C$89^((R$35-$C$30)-Drivers!$C$87))*$E$30</f>
        <v>0.33516</v>
      </c>
      <c r="S60" s="24" t="n">
        <f aca="false">$D$30*$C$15*IF((S$35-$C$30)&lt;0,0,IF((S$35-$C$30)&gt;=7,1,INDEX(Drivers!$D$86:$J$86,(S$35-$C$30)+1)))*IF((S$35-$C$30)&lt;Drivers!$C$87,1,Drivers!$C$88*Drivers!$C$89^((S$35-$C$30)-Drivers!$C$87))*$E$30</f>
        <v>0.33516</v>
      </c>
      <c r="T60" s="24" t="n">
        <f aca="false">$D$30*$C$15*IF((T$35-$C$30)&lt;0,0,IF((T$35-$C$30)&gt;=7,1,INDEX(Drivers!$D$86:$J$86,(T$35-$C$30)+1)))*IF((T$35-$C$30)&lt;Drivers!$C$87,1,Drivers!$C$88*Drivers!$C$89^((T$35-$C$30)-Drivers!$C$87))*$E$30</f>
        <v>0.33516</v>
      </c>
      <c r="U60" s="24" t="n">
        <f aca="false">$D$30*$C$15*IF((U$35-$C$30)&lt;0,0,IF((U$35-$C$30)&gt;=7,1,INDEX(Drivers!$D$86:$J$86,(U$35-$C$30)+1)))*IF((U$35-$C$30)&lt;Drivers!$C$87,1,Drivers!$C$88*Drivers!$C$89^((U$35-$C$30)-Drivers!$C$87))*$E$30</f>
        <v>0.33516</v>
      </c>
    </row>
    <row r="61" customFormat="false" ht="15" hidden="false" customHeight="false" outlineLevel="0" collapsed="false">
      <c r="A61" s="9" t="s">
        <v>350</v>
      </c>
      <c r="B61" s="35" t="s">
        <v>326</v>
      </c>
      <c r="C61" s="24" t="n">
        <f aca="false">$D$31*$C$15*IF((C$35-$C$31)&lt;0,0,IF((C$35-$C$31)&gt;=7,1,INDEX(Drivers!$D$86:$J$86,(C$35-$C$31)+1)))*IF((C$35-$C$31)&lt;Drivers!$C$87,1,Drivers!$C$88*Drivers!$C$89^((C$35-$C$31)-Drivers!$C$87))*$E$31</f>
        <v>0</v>
      </c>
      <c r="D61" s="24" t="n">
        <f aca="false">$D$31*$C$15*IF((D$35-$C$31)&lt;0,0,IF((D$35-$C$31)&gt;=7,1,INDEX(Drivers!$D$86:$J$86,(D$35-$C$31)+1)))*IF((D$35-$C$31)&lt;Drivers!$C$87,1,Drivers!$C$88*Drivers!$C$89^((D$35-$C$31)-Drivers!$C$87))*$E$31</f>
        <v>0</v>
      </c>
      <c r="E61" s="24" t="n">
        <f aca="false">$D$31*$C$15*IF((E$35-$C$31)&lt;0,0,IF((E$35-$C$31)&gt;=7,1,INDEX(Drivers!$D$86:$J$86,(E$35-$C$31)+1)))*IF((E$35-$C$31)&lt;Drivers!$C$87,1,Drivers!$C$88*Drivers!$C$89^((E$35-$C$31)-Drivers!$C$87))*$E$31</f>
        <v>0</v>
      </c>
      <c r="F61" s="24" t="n">
        <f aca="false">$D$31*$C$15*IF((F$35-$C$31)&lt;0,0,IF((F$35-$C$31)&gt;=7,1,INDEX(Drivers!$D$86:$J$86,(F$35-$C$31)+1)))*IF((F$35-$C$31)&lt;Drivers!$C$87,1,Drivers!$C$88*Drivers!$C$89^((F$35-$C$31)-Drivers!$C$87))*$E$31</f>
        <v>0</v>
      </c>
      <c r="G61" s="24" t="n">
        <f aca="false">$D$31*$C$15*IF((G$35-$C$31)&lt;0,0,IF((G$35-$C$31)&gt;=7,1,INDEX(Drivers!$D$86:$J$86,(G$35-$C$31)+1)))*IF((G$35-$C$31)&lt;Drivers!$C$87,1,Drivers!$C$88*Drivers!$C$89^((G$35-$C$31)-Drivers!$C$87))*$E$31</f>
        <v>0.02860032</v>
      </c>
      <c r="H61" s="24" t="n">
        <f aca="false">$D$31*$C$15*IF((H$35-$C$31)&lt;0,0,IF((H$35-$C$31)&gt;=7,1,INDEX(Drivers!$D$86:$J$86,(H$35-$C$31)+1)))*IF((H$35-$C$31)&lt;Drivers!$C$87,1,Drivers!$C$88*Drivers!$C$89^((H$35-$C$31)-Drivers!$C$87))*$E$31</f>
        <v>0.089376</v>
      </c>
      <c r="I61" s="24" t="n">
        <f aca="false">$D$31*$C$15*IF((I$35-$C$31)&lt;0,0,IF((I$35-$C$31)&gt;=7,1,INDEX(Drivers!$D$86:$J$86,(I$35-$C$31)+1)))*IF((I$35-$C$31)&lt;Drivers!$C$87,1,Drivers!$C$88*Drivers!$C$89^((I$35-$C$31)-Drivers!$C$87))*$E$31</f>
        <v>0.1608768</v>
      </c>
      <c r="J61" s="24" t="n">
        <f aca="false">$D$31*$C$15*IF((J$35-$C$31)&lt;0,0,IF((J$35-$C$31)&gt;=7,1,INDEX(Drivers!$D$86:$J$86,(J$35-$C$31)+1)))*IF((J$35-$C$31)&lt;Drivers!$C$87,1,Drivers!$C$88*Drivers!$C$89^((J$35-$C$31)-Drivers!$C$87))*$E$31</f>
        <v>0.2323776</v>
      </c>
      <c r="K61" s="24" t="n">
        <f aca="false">$D$31*$C$15*IF((K$35-$C$31)&lt;0,0,IF((K$35-$C$31)&gt;=7,1,INDEX(Drivers!$D$86:$J$86,(K$35-$C$31)+1)))*IF((K$35-$C$31)&lt;Drivers!$C$87,1,Drivers!$C$88*Drivers!$C$89^((K$35-$C$31)-Drivers!$C$87))*$E$31</f>
        <v>0.29315328</v>
      </c>
      <c r="L61" s="24" t="n">
        <f aca="false">$D$31*$C$15*IF((L$35-$C$31)&lt;0,0,IF((L$35-$C$31)&gt;=7,1,INDEX(Drivers!$D$86:$J$86,(L$35-$C$31)+1)))*IF((L$35-$C$31)&lt;Drivers!$C$87,1,Drivers!$C$88*Drivers!$C$89^((L$35-$C$31)-Drivers!$C$87))*$E$31</f>
        <v>0.33247872</v>
      </c>
      <c r="M61" s="24" t="n">
        <f aca="false">$D$31*$C$15*IF((M$35-$C$31)&lt;0,0,IF((M$35-$C$31)&gt;=7,1,INDEX(Drivers!$D$86:$J$86,(M$35-$C$31)+1)))*IF((M$35-$C$31)&lt;Drivers!$C$87,1,Drivers!$C$88*Drivers!$C$89^((M$35-$C$31)-Drivers!$C$87))*$E$31</f>
        <v>0.357504</v>
      </c>
      <c r="N61" s="24" t="n">
        <f aca="false">$D$31*$C$15*IF((N$35-$C$31)&lt;0,0,IF((N$35-$C$31)&gt;=7,1,INDEX(Drivers!$D$86:$J$86,(N$35-$C$31)+1)))*IF((N$35-$C$31)&lt;Drivers!$C$87,1,Drivers!$C$88*Drivers!$C$89^((N$35-$C$31)-Drivers!$C$87))*$E$31</f>
        <v>0.357504</v>
      </c>
      <c r="O61" s="24" t="n">
        <f aca="false">$D$31*$C$15*IF((O$35-$C$31)&lt;0,0,IF((O$35-$C$31)&gt;=7,1,INDEX(Drivers!$D$86:$J$86,(O$35-$C$31)+1)))*IF((O$35-$C$31)&lt;Drivers!$C$87,1,Drivers!$C$88*Drivers!$C$89^((O$35-$C$31)-Drivers!$C$87))*$E$31</f>
        <v>0.357504</v>
      </c>
      <c r="P61" s="24" t="n">
        <f aca="false">$D$31*$C$15*IF((P$35-$C$31)&lt;0,0,IF((P$35-$C$31)&gt;=7,1,INDEX(Drivers!$D$86:$J$86,(P$35-$C$31)+1)))*IF((P$35-$C$31)&lt;Drivers!$C$87,1,Drivers!$C$88*Drivers!$C$89^((P$35-$C$31)-Drivers!$C$87))*$E$31</f>
        <v>0.357504</v>
      </c>
      <c r="Q61" s="24" t="n">
        <f aca="false">$D$31*$C$15*IF((Q$35-$C$31)&lt;0,0,IF((Q$35-$C$31)&gt;=7,1,INDEX(Drivers!$D$86:$J$86,(Q$35-$C$31)+1)))*IF((Q$35-$C$31)&lt;Drivers!$C$87,1,Drivers!$C$88*Drivers!$C$89^((Q$35-$C$31)-Drivers!$C$87))*$E$31</f>
        <v>0.357504</v>
      </c>
      <c r="R61" s="24" t="n">
        <f aca="false">$D$31*$C$15*IF((R$35-$C$31)&lt;0,0,IF((R$35-$C$31)&gt;=7,1,INDEX(Drivers!$D$86:$J$86,(R$35-$C$31)+1)))*IF((R$35-$C$31)&lt;Drivers!$C$87,1,Drivers!$C$88*Drivers!$C$89^((R$35-$C$31)-Drivers!$C$87))*$E$31</f>
        <v>0.357504</v>
      </c>
      <c r="S61" s="24" t="n">
        <f aca="false">$D$31*$C$15*IF((S$35-$C$31)&lt;0,0,IF((S$35-$C$31)&gt;=7,1,INDEX(Drivers!$D$86:$J$86,(S$35-$C$31)+1)))*IF((S$35-$C$31)&lt;Drivers!$C$87,1,Drivers!$C$88*Drivers!$C$89^((S$35-$C$31)-Drivers!$C$87))*$E$31</f>
        <v>0.2860032</v>
      </c>
      <c r="T61" s="24" t="n">
        <f aca="false">$D$31*$C$15*IF((T$35-$C$31)&lt;0,0,IF((T$35-$C$31)&gt;=7,1,INDEX(Drivers!$D$86:$J$86,(T$35-$C$31)+1)))*IF((T$35-$C$31)&lt;Drivers!$C$87,1,Drivers!$C$88*Drivers!$C$89^((T$35-$C$31)-Drivers!$C$87))*$E$31</f>
        <v>0.277423104</v>
      </c>
      <c r="U61" s="24" t="n">
        <f aca="false">$D$31*$C$15*IF((U$35-$C$31)&lt;0,0,IF((U$35-$C$31)&gt;=7,1,INDEX(Drivers!$D$86:$J$86,(U$35-$C$31)+1)))*IF((U$35-$C$31)&lt;Drivers!$C$87,1,Drivers!$C$88*Drivers!$C$89^((U$35-$C$31)-Drivers!$C$87))*$E$31</f>
        <v>0.26910041088</v>
      </c>
    </row>
    <row r="62" customFormat="false" ht="15" hidden="false" customHeight="false" outlineLevel="0" collapsed="false">
      <c r="A62" s="9" t="s">
        <v>351</v>
      </c>
      <c r="B62" s="35" t="s">
        <v>326</v>
      </c>
      <c r="C62" s="24" t="n">
        <f aca="false">$D$32*$C$15*IF((C$35-$C$32)&lt;0,0,IF((C$35-$C$32)&gt;=7,1,INDEX(Drivers!$D$86:$J$86,(C$35-$C$32)+1)))*IF((C$35-$C$32)&lt;Drivers!$C$87,1,Drivers!$C$88*Drivers!$C$89^((C$35-$C$32)-Drivers!$C$87))*$E$32</f>
        <v>0</v>
      </c>
      <c r="D62" s="24" t="n">
        <f aca="false">$D$32*$C$15*IF((D$35-$C$32)&lt;0,0,IF((D$35-$C$32)&gt;=7,1,INDEX(Drivers!$D$86:$J$86,(D$35-$C$32)+1)))*IF((D$35-$C$32)&lt;Drivers!$C$87,1,Drivers!$C$88*Drivers!$C$89^((D$35-$C$32)-Drivers!$C$87))*$E$32</f>
        <v>0</v>
      </c>
      <c r="E62" s="24" t="n">
        <f aca="false">$D$32*$C$15*IF((E$35-$C$32)&lt;0,0,IF((E$35-$C$32)&gt;=7,1,INDEX(Drivers!$D$86:$J$86,(E$35-$C$32)+1)))*IF((E$35-$C$32)&lt;Drivers!$C$87,1,Drivers!$C$88*Drivers!$C$89^((E$35-$C$32)-Drivers!$C$87))*$E$32</f>
        <v>0</v>
      </c>
      <c r="F62" s="24" t="n">
        <f aca="false">$D$32*$C$15*IF((F$35-$C$32)&lt;0,0,IF((F$35-$C$32)&gt;=7,1,INDEX(Drivers!$D$86:$J$86,(F$35-$C$32)+1)))*IF((F$35-$C$32)&lt;Drivers!$C$87,1,Drivers!$C$88*Drivers!$C$89^((F$35-$C$32)-Drivers!$C$87))*$E$32</f>
        <v>0</v>
      </c>
      <c r="G62" s="24" t="n">
        <f aca="false">$D$32*$C$15*IF((G$35-$C$32)&lt;0,0,IF((G$35-$C$32)&gt;=7,1,INDEX(Drivers!$D$86:$J$86,(G$35-$C$32)+1)))*IF((G$35-$C$32)&lt;Drivers!$C$87,1,Drivers!$C$88*Drivers!$C$89^((G$35-$C$32)-Drivers!$C$87))*$E$32</f>
        <v>0</v>
      </c>
      <c r="H62" s="24" t="n">
        <f aca="false">$D$32*$C$15*IF((H$35-$C$32)&lt;0,0,IF((H$35-$C$32)&gt;=7,1,INDEX(Drivers!$D$86:$J$86,(H$35-$C$32)+1)))*IF((H$35-$C$32)&lt;Drivers!$C$87,1,Drivers!$C$88*Drivers!$C$89^((H$35-$C$32)-Drivers!$C$87))*$E$32</f>
        <v>0.03217536</v>
      </c>
      <c r="I62" s="24" t="n">
        <f aca="false">$D$32*$C$15*IF((I$35-$C$32)&lt;0,0,IF((I$35-$C$32)&gt;=7,1,INDEX(Drivers!$D$86:$J$86,(I$35-$C$32)+1)))*IF((I$35-$C$32)&lt;Drivers!$C$87,1,Drivers!$C$88*Drivers!$C$89^((I$35-$C$32)-Drivers!$C$87))*$E$32</f>
        <v>0.100548</v>
      </c>
      <c r="J62" s="24" t="n">
        <f aca="false">$D$32*$C$15*IF((J$35-$C$32)&lt;0,0,IF((J$35-$C$32)&gt;=7,1,INDEX(Drivers!$D$86:$J$86,(J$35-$C$32)+1)))*IF((J$35-$C$32)&lt;Drivers!$C$87,1,Drivers!$C$88*Drivers!$C$89^((J$35-$C$32)-Drivers!$C$87))*$E$32</f>
        <v>0.1809864</v>
      </c>
      <c r="K62" s="24" t="n">
        <f aca="false">$D$32*$C$15*IF((K$35-$C$32)&lt;0,0,IF((K$35-$C$32)&gt;=7,1,INDEX(Drivers!$D$86:$J$86,(K$35-$C$32)+1)))*IF((K$35-$C$32)&lt;Drivers!$C$87,1,Drivers!$C$88*Drivers!$C$89^((K$35-$C$32)-Drivers!$C$87))*$E$32</f>
        <v>0.2614248</v>
      </c>
      <c r="L62" s="24" t="n">
        <f aca="false">$D$32*$C$15*IF((L$35-$C$32)&lt;0,0,IF((L$35-$C$32)&gt;=7,1,INDEX(Drivers!$D$86:$J$86,(L$35-$C$32)+1)))*IF((L$35-$C$32)&lt;Drivers!$C$87,1,Drivers!$C$88*Drivers!$C$89^((L$35-$C$32)-Drivers!$C$87))*$E$32</f>
        <v>0.32979744</v>
      </c>
      <c r="M62" s="24" t="n">
        <f aca="false">$D$32*$C$15*IF((M$35-$C$32)&lt;0,0,IF((M$35-$C$32)&gt;=7,1,INDEX(Drivers!$D$86:$J$86,(M$35-$C$32)+1)))*IF((M$35-$C$32)&lt;Drivers!$C$87,1,Drivers!$C$88*Drivers!$C$89^((M$35-$C$32)-Drivers!$C$87))*$E$32</f>
        <v>0.37403856</v>
      </c>
      <c r="N62" s="24" t="n">
        <f aca="false">$D$32*$C$15*IF((N$35-$C$32)&lt;0,0,IF((N$35-$C$32)&gt;=7,1,INDEX(Drivers!$D$86:$J$86,(N$35-$C$32)+1)))*IF((N$35-$C$32)&lt;Drivers!$C$87,1,Drivers!$C$88*Drivers!$C$89^((N$35-$C$32)-Drivers!$C$87))*$E$32</f>
        <v>0.402192</v>
      </c>
      <c r="O62" s="24" t="n">
        <f aca="false">$D$32*$C$15*IF((O$35-$C$32)&lt;0,0,IF((O$35-$C$32)&gt;=7,1,INDEX(Drivers!$D$86:$J$86,(O$35-$C$32)+1)))*IF((O$35-$C$32)&lt;Drivers!$C$87,1,Drivers!$C$88*Drivers!$C$89^((O$35-$C$32)-Drivers!$C$87))*$E$32</f>
        <v>0.402192</v>
      </c>
      <c r="P62" s="24" t="n">
        <f aca="false">$D$32*$C$15*IF((P$35-$C$32)&lt;0,0,IF((P$35-$C$32)&gt;=7,1,INDEX(Drivers!$D$86:$J$86,(P$35-$C$32)+1)))*IF((P$35-$C$32)&lt;Drivers!$C$87,1,Drivers!$C$88*Drivers!$C$89^((P$35-$C$32)-Drivers!$C$87))*$E$32</f>
        <v>0.402192</v>
      </c>
      <c r="Q62" s="24" t="n">
        <f aca="false">$D$32*$C$15*IF((Q$35-$C$32)&lt;0,0,IF((Q$35-$C$32)&gt;=7,1,INDEX(Drivers!$D$86:$J$86,(Q$35-$C$32)+1)))*IF((Q$35-$C$32)&lt;Drivers!$C$87,1,Drivers!$C$88*Drivers!$C$89^((Q$35-$C$32)-Drivers!$C$87))*$E$32</f>
        <v>0.402192</v>
      </c>
      <c r="R62" s="24" t="n">
        <f aca="false">$D$32*$C$15*IF((R$35-$C$32)&lt;0,0,IF((R$35-$C$32)&gt;=7,1,INDEX(Drivers!$D$86:$J$86,(R$35-$C$32)+1)))*IF((R$35-$C$32)&lt;Drivers!$C$87,1,Drivers!$C$88*Drivers!$C$89^((R$35-$C$32)-Drivers!$C$87))*$E$32</f>
        <v>0.402192</v>
      </c>
      <c r="S62" s="24" t="n">
        <f aca="false">$D$32*$C$15*IF((S$35-$C$32)&lt;0,0,IF((S$35-$C$32)&gt;=7,1,INDEX(Drivers!$D$86:$J$86,(S$35-$C$32)+1)))*IF((S$35-$C$32)&lt;Drivers!$C$87,1,Drivers!$C$88*Drivers!$C$89^((S$35-$C$32)-Drivers!$C$87))*$E$32</f>
        <v>0.402192</v>
      </c>
      <c r="T62" s="24" t="n">
        <f aca="false">$D$32*$C$15*IF((T$35-$C$32)&lt;0,0,IF((T$35-$C$32)&gt;=7,1,INDEX(Drivers!$D$86:$J$86,(T$35-$C$32)+1)))*IF((T$35-$C$32)&lt;Drivers!$C$87,1,Drivers!$C$88*Drivers!$C$89^((T$35-$C$32)-Drivers!$C$87))*$E$32</f>
        <v>0.3217536</v>
      </c>
      <c r="U62" s="24" t="n">
        <f aca="false">$D$32*$C$15*IF((U$35-$C$32)&lt;0,0,IF((U$35-$C$32)&gt;=7,1,INDEX(Drivers!$D$86:$J$86,(U$35-$C$32)+1)))*IF((U$35-$C$32)&lt;Drivers!$C$87,1,Drivers!$C$88*Drivers!$C$89^((U$35-$C$32)-Drivers!$C$87))*$E$32</f>
        <v>0.312100992</v>
      </c>
    </row>
    <row r="63" customFormat="false" ht="15" hidden="false" customHeight="false" outlineLevel="0" collapsed="false">
      <c r="A63" s="9" t="s">
        <v>352</v>
      </c>
      <c r="B63" s="35" t="s">
        <v>326</v>
      </c>
      <c r="C63" s="24" t="n">
        <f aca="false">$D$33*$C$15*IF((C$35-$C$33)&lt;0,0,IF((C$35-$C$33)&gt;=7,1,INDEX(Drivers!$D$86:$J$86,(C$35-$C$33)+1)))*IF((C$35-$C$33)&lt;Drivers!$C$87,1,Drivers!$C$88*Drivers!$C$89^((C$35-$C$33)-Drivers!$C$87))*$E$33</f>
        <v>0</v>
      </c>
      <c r="D63" s="24" t="n">
        <f aca="false">$D$33*$C$15*IF((D$35-$C$33)&lt;0,0,IF((D$35-$C$33)&gt;=7,1,INDEX(Drivers!$D$86:$J$86,(D$35-$C$33)+1)))*IF((D$35-$C$33)&lt;Drivers!$C$87,1,Drivers!$C$88*Drivers!$C$89^((D$35-$C$33)-Drivers!$C$87))*$E$33</f>
        <v>0</v>
      </c>
      <c r="E63" s="24" t="n">
        <f aca="false">$D$33*$C$15*IF((E$35-$C$33)&lt;0,0,IF((E$35-$C$33)&gt;=7,1,INDEX(Drivers!$D$86:$J$86,(E$35-$C$33)+1)))*IF((E$35-$C$33)&lt;Drivers!$C$87,1,Drivers!$C$88*Drivers!$C$89^((E$35-$C$33)-Drivers!$C$87))*$E$33</f>
        <v>0</v>
      </c>
      <c r="F63" s="24" t="n">
        <f aca="false">$D$33*$C$15*IF((F$35-$C$33)&lt;0,0,IF((F$35-$C$33)&gt;=7,1,INDEX(Drivers!$D$86:$J$86,(F$35-$C$33)+1)))*IF((F$35-$C$33)&lt;Drivers!$C$87,1,Drivers!$C$88*Drivers!$C$89^((F$35-$C$33)-Drivers!$C$87))*$E$33</f>
        <v>0</v>
      </c>
      <c r="G63" s="24" t="n">
        <f aca="false">$D$33*$C$15*IF((G$35-$C$33)&lt;0,0,IF((G$35-$C$33)&gt;=7,1,INDEX(Drivers!$D$86:$J$86,(G$35-$C$33)+1)))*IF((G$35-$C$33)&lt;Drivers!$C$87,1,Drivers!$C$88*Drivers!$C$89^((G$35-$C$33)-Drivers!$C$87))*$E$33</f>
        <v>0</v>
      </c>
      <c r="H63" s="24" t="n">
        <f aca="false">$D$33*$C$15*IF((H$35-$C$33)&lt;0,0,IF((H$35-$C$33)&gt;=7,1,INDEX(Drivers!$D$86:$J$86,(H$35-$C$33)+1)))*IF((H$35-$C$33)&lt;Drivers!$C$87,1,Drivers!$C$88*Drivers!$C$89^((H$35-$C$33)-Drivers!$C$87))*$E$33</f>
        <v>0</v>
      </c>
      <c r="I63" s="24" t="n">
        <f aca="false">$D$33*$C$15*IF((I$35-$C$33)&lt;0,0,IF((I$35-$C$33)&gt;=7,1,INDEX(Drivers!$D$86:$J$86,(I$35-$C$33)+1)))*IF((I$35-$C$33)&lt;Drivers!$C$87,1,Drivers!$C$88*Drivers!$C$89^((I$35-$C$33)-Drivers!$C$87))*$E$33</f>
        <v>0</v>
      </c>
      <c r="J63" s="24" t="n">
        <f aca="false">$D$33*$C$15*IF((J$35-$C$33)&lt;0,0,IF((J$35-$C$33)&gt;=7,1,INDEX(Drivers!$D$86:$J$86,(J$35-$C$33)+1)))*IF((J$35-$C$33)&lt;Drivers!$C$87,1,Drivers!$C$88*Drivers!$C$89^((J$35-$C$33)-Drivers!$C$87))*$E$33</f>
        <v>0</v>
      </c>
      <c r="K63" s="24" t="n">
        <f aca="false">$D$33*$C$15*IF((K$35-$C$33)&lt;0,0,IF((K$35-$C$33)&gt;=7,1,INDEX(Drivers!$D$86:$J$86,(K$35-$C$33)+1)))*IF((K$35-$C$33)&lt;Drivers!$C$87,1,Drivers!$C$88*Drivers!$C$89^((K$35-$C$33)-Drivers!$C$87))*$E$33</f>
        <v>0.1072512</v>
      </c>
      <c r="L63" s="24" t="n">
        <f aca="false">$D$33*$C$15*IF((L$35-$C$33)&lt;0,0,IF((L$35-$C$33)&gt;=7,1,INDEX(Drivers!$D$86:$J$86,(L$35-$C$33)+1)))*IF((L$35-$C$33)&lt;Drivers!$C$87,1,Drivers!$C$88*Drivers!$C$89^((L$35-$C$33)-Drivers!$C$87))*$E$33</f>
        <v>0.33516</v>
      </c>
      <c r="M63" s="24" t="n">
        <f aca="false">$D$33*$C$15*IF((M$35-$C$33)&lt;0,0,IF((M$35-$C$33)&gt;=7,1,INDEX(Drivers!$D$86:$J$86,(M$35-$C$33)+1)))*IF((M$35-$C$33)&lt;Drivers!$C$87,1,Drivers!$C$88*Drivers!$C$89^((M$35-$C$33)-Drivers!$C$87))*$E$33</f>
        <v>0.603288</v>
      </c>
      <c r="N63" s="24" t="n">
        <f aca="false">$D$33*$C$15*IF((N$35-$C$33)&lt;0,0,IF((N$35-$C$33)&gt;=7,1,INDEX(Drivers!$D$86:$J$86,(N$35-$C$33)+1)))*IF((N$35-$C$33)&lt;Drivers!$C$87,1,Drivers!$C$88*Drivers!$C$89^((N$35-$C$33)-Drivers!$C$87))*$E$33</f>
        <v>0.871416</v>
      </c>
      <c r="O63" s="24" t="n">
        <f aca="false">$D$33*$C$15*IF((O$35-$C$33)&lt;0,0,IF((O$35-$C$33)&gt;=7,1,INDEX(Drivers!$D$86:$J$86,(O$35-$C$33)+1)))*IF((O$35-$C$33)&lt;Drivers!$C$87,1,Drivers!$C$88*Drivers!$C$89^((O$35-$C$33)-Drivers!$C$87))*$E$33</f>
        <v>1.0993248</v>
      </c>
      <c r="P63" s="24" t="n">
        <f aca="false">$D$33*$C$15*IF((P$35-$C$33)&lt;0,0,IF((P$35-$C$33)&gt;=7,1,INDEX(Drivers!$D$86:$J$86,(P$35-$C$33)+1)))*IF((P$35-$C$33)&lt;Drivers!$C$87,1,Drivers!$C$88*Drivers!$C$89^((P$35-$C$33)-Drivers!$C$87))*$E$33</f>
        <v>1.2467952</v>
      </c>
      <c r="Q63" s="24" t="n">
        <f aca="false">$D$33*$C$15*IF((Q$35-$C$33)&lt;0,0,IF((Q$35-$C$33)&gt;=7,1,INDEX(Drivers!$D$86:$J$86,(Q$35-$C$33)+1)))*IF((Q$35-$C$33)&lt;Drivers!$C$87,1,Drivers!$C$88*Drivers!$C$89^((Q$35-$C$33)-Drivers!$C$87))*$E$33</f>
        <v>1.34064</v>
      </c>
      <c r="R63" s="24" t="n">
        <f aca="false">$D$33*$C$15*IF((R$35-$C$33)&lt;0,0,IF((R$35-$C$33)&gt;=7,1,INDEX(Drivers!$D$86:$J$86,(R$35-$C$33)+1)))*IF((R$35-$C$33)&lt;Drivers!$C$87,1,Drivers!$C$88*Drivers!$C$89^((R$35-$C$33)-Drivers!$C$87))*$E$33</f>
        <v>1.34064</v>
      </c>
      <c r="S63" s="24" t="n">
        <f aca="false">$D$33*$C$15*IF((S$35-$C$33)&lt;0,0,IF((S$35-$C$33)&gt;=7,1,INDEX(Drivers!$D$86:$J$86,(S$35-$C$33)+1)))*IF((S$35-$C$33)&lt;Drivers!$C$87,1,Drivers!$C$88*Drivers!$C$89^((S$35-$C$33)-Drivers!$C$87))*$E$33</f>
        <v>1.34064</v>
      </c>
      <c r="T63" s="24" t="n">
        <f aca="false">$D$33*$C$15*IF((T$35-$C$33)&lt;0,0,IF((T$35-$C$33)&gt;=7,1,INDEX(Drivers!$D$86:$J$86,(T$35-$C$33)+1)))*IF((T$35-$C$33)&lt;Drivers!$C$87,1,Drivers!$C$88*Drivers!$C$89^((T$35-$C$33)-Drivers!$C$87))*$E$33</f>
        <v>1.34064</v>
      </c>
      <c r="U63" s="24" t="n">
        <f aca="false">$D$33*$C$15*IF((U$35-$C$33)&lt;0,0,IF((U$35-$C$33)&gt;=7,1,INDEX(Drivers!$D$86:$J$86,(U$35-$C$33)+1)))*IF((U$35-$C$33)&lt;Drivers!$C$87,1,Drivers!$C$88*Drivers!$C$89^((U$35-$C$33)-Drivers!$C$87))*$E$33</f>
        <v>1.34064</v>
      </c>
    </row>
    <row r="64" customFormat="false" ht="15" hidden="false" customHeight="false" outlineLevel="0" collapsed="false">
      <c r="A64" s="3" t="s">
        <v>353</v>
      </c>
      <c r="B64" s="35" t="s">
        <v>326</v>
      </c>
      <c r="C64" s="29" t="n">
        <f aca="false">SUM(C54:C63)</f>
        <v>0.5208</v>
      </c>
      <c r="D64" s="29" t="n">
        <f aca="false">SUM(D54:D63)</f>
        <v>1.6275</v>
      </c>
      <c r="E64" s="29" t="n">
        <f aca="false">SUM(E54:E63)</f>
        <v>2.9295</v>
      </c>
      <c r="F64" s="29" t="n">
        <f aca="false">SUM(F54:F63)</f>
        <v>4.2315</v>
      </c>
      <c r="G64" s="29" t="n">
        <f aca="false">SUM(G54:G63)</f>
        <v>5.74217952</v>
      </c>
      <c r="H64" s="29" t="n">
        <f aca="false">SUM(H54:H63)</f>
        <v>7.34891136</v>
      </c>
      <c r="I64" s="29" t="n">
        <f aca="false">SUM(I54:I63)</f>
        <v>8.9186832</v>
      </c>
      <c r="J64" s="29" t="n">
        <f aca="false">SUM(J54:J63)</f>
        <v>10.219104</v>
      </c>
      <c r="K64" s="29" t="n">
        <f aca="false">SUM(K54:K63)</f>
        <v>11.79592008</v>
      </c>
      <c r="L64" s="29" t="n">
        <f aca="false">SUM(L54:L63)</f>
        <v>13.40457636</v>
      </c>
      <c r="M64" s="29" t="n">
        <f aca="false">SUM(M54:M63)</f>
        <v>14.87257716</v>
      </c>
      <c r="N64" s="29" t="n">
        <f aca="false">SUM(N54:N63)</f>
        <v>15.8939214</v>
      </c>
      <c r="O64" s="29" t="n">
        <f aca="false">SUM(O54:O63)</f>
        <v>15.3678168</v>
      </c>
      <c r="P64" s="29" t="n">
        <f aca="false">SUM(P54:P63)</f>
        <v>15.6914142</v>
      </c>
      <c r="Q64" s="29" t="n">
        <f aca="false">SUM(Q54:Q63)</f>
        <v>15.7705632</v>
      </c>
      <c r="R64" s="29" t="n">
        <f aca="false">SUM(R54:R63)</f>
        <v>15.623556984</v>
      </c>
      <c r="S64" s="29" t="n">
        <f aca="false">SUM(S54:S63)</f>
        <v>14.47101215448</v>
      </c>
      <c r="T64" s="29" t="n">
        <f aca="false">SUM(T54:T63)</f>
        <v>14.1310617498456</v>
      </c>
      <c r="U64" s="29" t="n">
        <f aca="false">SUM(U54:U63)</f>
        <v>13.7803064973502</v>
      </c>
    </row>
    <row r="65" customFormat="false" ht="15" hidden="false" customHeight="false" outlineLevel="0" collapsed="false">
      <c r="A65" s="9" t="s">
        <v>354</v>
      </c>
      <c r="B65" s="35" t="s">
        <v>334</v>
      </c>
      <c r="C65" s="11" t="n">
        <f aca="false">IF((C$35-$C$24)&lt;0,0,Drivers!$C$90+($C$16-Drivers!$C$90)*MIN((C$35-$C$24)/Drivers!$C$91,1))</f>
        <v>0.2</v>
      </c>
      <c r="D65" s="11" t="n">
        <f aca="false">IF((D$35-$C$24)&lt;0,0,Drivers!$C$90+($C$16-Drivers!$C$90)*MIN((D$35-$C$24)/Drivers!$C$91,1))</f>
        <v>0.27</v>
      </c>
      <c r="E65" s="11" t="n">
        <f aca="false">IF((E$35-$C$24)&lt;0,0,Drivers!$C$90+($C$16-Drivers!$C$90)*MIN((E$35-$C$24)/Drivers!$C$91,1))</f>
        <v>0.34</v>
      </c>
      <c r="F65" s="11" t="n">
        <f aca="false">IF((F$35-$C$24)&lt;0,0,Drivers!$C$90+($C$16-Drivers!$C$90)*MIN((F$35-$C$24)/Drivers!$C$91,1))</f>
        <v>0.41</v>
      </c>
      <c r="G65" s="11" t="n">
        <f aca="false">IF((G$35-$C$24)&lt;0,0,Drivers!$C$90+($C$16-Drivers!$C$90)*MIN((G$35-$C$24)/Drivers!$C$91,1))</f>
        <v>0.48</v>
      </c>
      <c r="H65" s="11" t="n">
        <f aca="false">IF((H$35-$C$24)&lt;0,0,Drivers!$C$90+($C$16-Drivers!$C$90)*MIN((H$35-$C$24)/Drivers!$C$91,1))</f>
        <v>0.55</v>
      </c>
      <c r="I65" s="11" t="n">
        <f aca="false">IF((I$35-$C$24)&lt;0,0,Drivers!$C$90+($C$16-Drivers!$C$90)*MIN((I$35-$C$24)/Drivers!$C$91,1))</f>
        <v>0.55</v>
      </c>
      <c r="J65" s="11" t="n">
        <f aca="false">IF((J$35-$C$24)&lt;0,0,Drivers!$C$90+($C$16-Drivers!$C$90)*MIN((J$35-$C$24)/Drivers!$C$91,1))</f>
        <v>0.55</v>
      </c>
      <c r="K65" s="11" t="n">
        <f aca="false">IF((K$35-$C$24)&lt;0,0,Drivers!$C$90+($C$16-Drivers!$C$90)*MIN((K$35-$C$24)/Drivers!$C$91,1))</f>
        <v>0.55</v>
      </c>
      <c r="L65" s="11" t="n">
        <f aca="false">IF((L$35-$C$24)&lt;0,0,Drivers!$C$90+($C$16-Drivers!$C$90)*MIN((L$35-$C$24)/Drivers!$C$91,1))</f>
        <v>0.55</v>
      </c>
      <c r="M65" s="11" t="n">
        <f aca="false">IF((M$35-$C$24)&lt;0,0,Drivers!$C$90+($C$16-Drivers!$C$90)*MIN((M$35-$C$24)/Drivers!$C$91,1))</f>
        <v>0.55</v>
      </c>
      <c r="N65" s="11" t="n">
        <f aca="false">IF((N$35-$C$24)&lt;0,0,Drivers!$C$90+($C$16-Drivers!$C$90)*MIN((N$35-$C$24)/Drivers!$C$91,1))</f>
        <v>0.55</v>
      </c>
      <c r="O65" s="11" t="n">
        <f aca="false">IF((O$35-$C$24)&lt;0,0,Drivers!$C$90+($C$16-Drivers!$C$90)*MIN((O$35-$C$24)/Drivers!$C$91,1))</f>
        <v>0.55</v>
      </c>
      <c r="P65" s="11" t="n">
        <f aca="false">IF((P$35-$C$24)&lt;0,0,Drivers!$C$90+($C$16-Drivers!$C$90)*MIN((P$35-$C$24)/Drivers!$C$91,1))</f>
        <v>0.55</v>
      </c>
      <c r="Q65" s="11" t="n">
        <f aca="false">IF((Q$35-$C$24)&lt;0,0,Drivers!$C$90+($C$16-Drivers!$C$90)*MIN((Q$35-$C$24)/Drivers!$C$91,1))</f>
        <v>0.55</v>
      </c>
      <c r="R65" s="11" t="n">
        <f aca="false">IF((R$35-$C$24)&lt;0,0,Drivers!$C$90+($C$16-Drivers!$C$90)*MIN((R$35-$C$24)/Drivers!$C$91,1))</f>
        <v>0.55</v>
      </c>
      <c r="S65" s="11" t="n">
        <f aca="false">IF((S$35-$C$24)&lt;0,0,Drivers!$C$90+($C$16-Drivers!$C$90)*MIN((S$35-$C$24)/Drivers!$C$91,1))</f>
        <v>0.55</v>
      </c>
      <c r="T65" s="11" t="n">
        <f aca="false">IF((T$35-$C$24)&lt;0,0,Drivers!$C$90+($C$16-Drivers!$C$90)*MIN((T$35-$C$24)/Drivers!$C$91,1))</f>
        <v>0.55</v>
      </c>
      <c r="U65" s="11" t="n">
        <f aca="false">IF((U$35-$C$24)&lt;0,0,Drivers!$C$90+($C$16-Drivers!$C$90)*MIN((U$35-$C$24)/Drivers!$C$91,1))</f>
        <v>0.55</v>
      </c>
    </row>
    <row r="66" customFormat="false" ht="15" hidden="false" customHeight="false" outlineLevel="0" collapsed="false">
      <c r="A66" s="9" t="s">
        <v>355</v>
      </c>
      <c r="B66" s="35" t="s">
        <v>326</v>
      </c>
      <c r="C66" s="24" t="n">
        <f aca="false">Drivers!$C$85*C64*C65</f>
        <v>0.05208</v>
      </c>
      <c r="D66" s="24" t="n">
        <f aca="false">Drivers!$C$85*D64*D65</f>
        <v>0.2197125</v>
      </c>
      <c r="E66" s="24" t="n">
        <f aca="false">Drivers!$C$85*E64*E65</f>
        <v>0.498015</v>
      </c>
      <c r="F66" s="24" t="n">
        <f aca="false">Drivers!$C$85*F64*F65</f>
        <v>0.8674575</v>
      </c>
      <c r="G66" s="24" t="n">
        <f aca="false">Drivers!$C$85*G64*G65</f>
        <v>1.3781230848</v>
      </c>
      <c r="H66" s="24" t="n">
        <f aca="false">Drivers!$C$85*H64*H65</f>
        <v>2.020950624</v>
      </c>
      <c r="I66" s="24" t="n">
        <f aca="false">Drivers!$C$85*I64*I65</f>
        <v>2.45263788</v>
      </c>
      <c r="J66" s="24" t="n">
        <f aca="false">Drivers!$C$85*J64*J65</f>
        <v>2.8102536</v>
      </c>
      <c r="K66" s="24" t="n">
        <f aca="false">Drivers!$C$85*K64*K65</f>
        <v>3.243878022</v>
      </c>
      <c r="L66" s="24" t="n">
        <f aca="false">Drivers!$C$85*L64*L65</f>
        <v>3.686258499</v>
      </c>
      <c r="M66" s="24" t="n">
        <f aca="false">Drivers!$C$85*M64*M65</f>
        <v>4.089958719</v>
      </c>
      <c r="N66" s="24" t="n">
        <f aca="false">Drivers!$C$85*N64*N65</f>
        <v>4.370828385</v>
      </c>
      <c r="O66" s="24" t="n">
        <f aca="false">Drivers!$C$85*O64*O65</f>
        <v>4.22614962</v>
      </c>
      <c r="P66" s="24" t="n">
        <f aca="false">Drivers!$C$85*P64*P65</f>
        <v>4.315138905</v>
      </c>
      <c r="Q66" s="24" t="n">
        <f aca="false">Drivers!$C$85*Q64*Q65</f>
        <v>4.33690488</v>
      </c>
      <c r="R66" s="24" t="n">
        <f aca="false">Drivers!$C$85*R64*R65</f>
        <v>4.2964781706</v>
      </c>
      <c r="S66" s="24" t="n">
        <f aca="false">Drivers!$C$85*S64*S65</f>
        <v>3.979528342482</v>
      </c>
      <c r="T66" s="24" t="n">
        <f aca="false">Drivers!$C$85*T64*T65</f>
        <v>3.88604198120754</v>
      </c>
      <c r="U66" s="24" t="n">
        <f aca="false">Drivers!$C$85*U64*U65</f>
        <v>3.78958428677131</v>
      </c>
    </row>
    <row r="67" customFormat="false" ht="15" hidden="false" customHeight="false" outlineLevel="0" collapsed="false">
      <c r="A67" s="9" t="s">
        <v>356</v>
      </c>
      <c r="B67" s="35" t="s">
        <v>326</v>
      </c>
      <c r="C67" s="24" t="n">
        <f aca="false">Drivers!$D$92</f>
        <v>0.4</v>
      </c>
      <c r="D67" s="24" t="n">
        <f aca="false">Drivers!$E$92</f>
        <v>0.4</v>
      </c>
      <c r="E67" s="24" t="n">
        <f aca="false">Drivers!$F$92</f>
        <v>0.4</v>
      </c>
      <c r="F67" s="24" t="n">
        <f aca="false">Drivers!$G$92</f>
        <v>0.4</v>
      </c>
      <c r="G67" s="24" t="n">
        <f aca="false">Drivers!$H$92</f>
        <v>0.35</v>
      </c>
      <c r="H67" s="24" t="n">
        <f aca="false">Drivers!$I$92</f>
        <v>0.35</v>
      </c>
      <c r="I67" s="24" t="n">
        <f aca="false">Drivers!$J$92</f>
        <v>0.3</v>
      </c>
      <c r="J67" s="24" t="n">
        <f aca="false">Drivers!$K$92</f>
        <v>0.25</v>
      </c>
      <c r="K67" s="24" t="n">
        <f aca="false">Drivers!$C$93</f>
        <v>0.2</v>
      </c>
      <c r="L67" s="24" t="n">
        <f aca="false">Drivers!$C$93</f>
        <v>0.2</v>
      </c>
      <c r="M67" s="24" t="n">
        <f aca="false">Drivers!$C$93</f>
        <v>0.2</v>
      </c>
      <c r="N67" s="24" t="n">
        <f aca="false">Drivers!$C$93</f>
        <v>0.2</v>
      </c>
      <c r="O67" s="24" t="n">
        <f aca="false">Drivers!$C$93</f>
        <v>0.2</v>
      </c>
      <c r="P67" s="24" t="n">
        <f aca="false">Drivers!$C$93</f>
        <v>0.2</v>
      </c>
      <c r="Q67" s="24" t="n">
        <f aca="false">Drivers!$C$93</f>
        <v>0.2</v>
      </c>
      <c r="R67" s="24" t="n">
        <f aca="false">Drivers!$C$93</f>
        <v>0.2</v>
      </c>
      <c r="S67" s="24" t="n">
        <f aca="false">Drivers!$C$93</f>
        <v>0.2</v>
      </c>
      <c r="T67" s="24" t="n">
        <f aca="false">Drivers!$C$93</f>
        <v>0.2</v>
      </c>
      <c r="U67" s="24" t="n">
        <f aca="false">Drivers!$C$93</f>
        <v>0.2</v>
      </c>
    </row>
    <row r="68" customFormat="false" ht="15" hidden="false" customHeight="false" outlineLevel="0" collapsed="false">
      <c r="A68" s="3" t="s">
        <v>357</v>
      </c>
      <c r="B68" s="35" t="s">
        <v>326</v>
      </c>
      <c r="C68" s="29" t="n">
        <f aca="false">C66-C67</f>
        <v>-0.34792</v>
      </c>
      <c r="D68" s="29" t="n">
        <f aca="false">D66-D67</f>
        <v>-0.1802875</v>
      </c>
      <c r="E68" s="29" t="n">
        <f aca="false">E66-E67</f>
        <v>0.098015</v>
      </c>
      <c r="F68" s="29" t="n">
        <f aca="false">F66-F67</f>
        <v>0.4674575</v>
      </c>
      <c r="G68" s="29" t="n">
        <f aca="false">G66-G67</f>
        <v>1.0281230848</v>
      </c>
      <c r="H68" s="29" t="n">
        <f aca="false">H66-H67</f>
        <v>1.670950624</v>
      </c>
      <c r="I68" s="29" t="n">
        <f aca="false">I66-I67</f>
        <v>2.15263788</v>
      </c>
      <c r="J68" s="29" t="n">
        <f aca="false">J66-J67</f>
        <v>2.5602536</v>
      </c>
      <c r="K68" s="29" t="n">
        <f aca="false">K66-K67</f>
        <v>3.043878022</v>
      </c>
      <c r="L68" s="29" t="n">
        <f aca="false">L66-L67</f>
        <v>3.486258499</v>
      </c>
      <c r="M68" s="29" t="n">
        <f aca="false">M66-M67</f>
        <v>3.889958719</v>
      </c>
      <c r="N68" s="29" t="n">
        <f aca="false">N66-N67</f>
        <v>4.170828385</v>
      </c>
      <c r="O68" s="29" t="n">
        <f aca="false">O66-O67</f>
        <v>4.02614962</v>
      </c>
      <c r="P68" s="29" t="n">
        <f aca="false">P66-P67</f>
        <v>4.115138905</v>
      </c>
      <c r="Q68" s="29" t="n">
        <f aca="false">Q66-Q67</f>
        <v>4.13690488</v>
      </c>
      <c r="R68" s="29" t="n">
        <f aca="false">R66-R67</f>
        <v>4.0964781706</v>
      </c>
      <c r="S68" s="29" t="n">
        <f aca="false">S66-S67</f>
        <v>3.779528342482</v>
      </c>
      <c r="T68" s="29" t="n">
        <f aca="false">T66-T67</f>
        <v>3.68604198120754</v>
      </c>
      <c r="U68" s="29" t="n">
        <f aca="false">U66-U67</f>
        <v>3.58958428677131</v>
      </c>
    </row>
    <row r="69" customFormat="false" ht="15" hidden="false" customHeight="false" outlineLevel="0" collapsed="false">
      <c r="A69" s="3" t="s">
        <v>358</v>
      </c>
    </row>
    <row r="70" customFormat="false" ht="15" hidden="false" customHeight="false" outlineLevel="0" collapsed="false">
      <c r="A70" s="9" t="s">
        <v>359</v>
      </c>
      <c r="B70" s="35" t="s">
        <v>326</v>
      </c>
      <c r="C70" s="24" t="n">
        <f aca="false">Drivers!$C$107*Drivers!$C$108*IF((C$35-Drivers!$C$109)&lt;0,0,IF((C$35-Drivers!$C$109)&gt;=7,1,INDEX(Drivers!$D$86:$J$86,(C$35-Drivers!$C$109)+1)))*IF((C$35-Drivers!$C$109)&lt;Drivers!$C$87,1,Drivers!$C$88*Drivers!$C$89^((C$35-Drivers!$C$109)-Drivers!$C$87))</f>
        <v>0</v>
      </c>
      <c r="D70" s="24" t="n">
        <f aca="false">Drivers!$C$107*Drivers!$C$108*IF((D$35-Drivers!$C$109)&lt;0,0,IF((D$35-Drivers!$C$109)&gt;=7,1,INDEX(Drivers!$D$86:$J$86,(D$35-Drivers!$C$109)+1)))*IF((D$35-Drivers!$C$109)&lt;Drivers!$C$87,1,Drivers!$C$88*Drivers!$C$89^((D$35-Drivers!$C$109)-Drivers!$C$87))</f>
        <v>0</v>
      </c>
      <c r="E70" s="24" t="n">
        <f aca="false">Drivers!$C$107*Drivers!$C$108*IF((E$35-Drivers!$C$109)&lt;0,0,IF((E$35-Drivers!$C$109)&gt;=7,1,INDEX(Drivers!$D$86:$J$86,(E$35-Drivers!$C$109)+1)))*IF((E$35-Drivers!$C$109)&lt;Drivers!$C$87,1,Drivers!$C$88*Drivers!$C$89^((E$35-Drivers!$C$109)-Drivers!$C$87))</f>
        <v>0</v>
      </c>
      <c r="F70" s="24" t="n">
        <f aca="false">Drivers!$C$107*Drivers!$C$108*IF((F$35-Drivers!$C$109)&lt;0,0,IF((F$35-Drivers!$C$109)&gt;=7,1,INDEX(Drivers!$D$86:$J$86,(F$35-Drivers!$C$109)+1)))*IF((F$35-Drivers!$C$109)&lt;Drivers!$C$87,1,Drivers!$C$88*Drivers!$C$89^((F$35-Drivers!$C$109)-Drivers!$C$87))</f>
        <v>0</v>
      </c>
      <c r="G70" s="24" t="n">
        <f aca="false">Drivers!$C$107*Drivers!$C$108*IF((G$35-Drivers!$C$109)&lt;0,0,IF((G$35-Drivers!$C$109)&gt;=7,1,INDEX(Drivers!$D$86:$J$86,(G$35-Drivers!$C$109)+1)))*IF((G$35-Drivers!$C$109)&lt;Drivers!$C$87,1,Drivers!$C$88*Drivers!$C$89^((G$35-Drivers!$C$109)-Drivers!$C$87))</f>
        <v>0.016</v>
      </c>
      <c r="H70" s="24" t="n">
        <f aca="false">Drivers!$C$107*Drivers!$C$108*IF((H$35-Drivers!$C$109)&lt;0,0,IF((H$35-Drivers!$C$109)&gt;=7,1,INDEX(Drivers!$D$86:$J$86,(H$35-Drivers!$C$109)+1)))*IF((H$35-Drivers!$C$109)&lt;Drivers!$C$87,1,Drivers!$C$88*Drivers!$C$89^((H$35-Drivers!$C$109)-Drivers!$C$87))</f>
        <v>0.05</v>
      </c>
      <c r="I70" s="24" t="n">
        <f aca="false">Drivers!$C$107*Drivers!$C$108*IF((I$35-Drivers!$C$109)&lt;0,0,IF((I$35-Drivers!$C$109)&gt;=7,1,INDEX(Drivers!$D$86:$J$86,(I$35-Drivers!$C$109)+1)))*IF((I$35-Drivers!$C$109)&lt;Drivers!$C$87,1,Drivers!$C$88*Drivers!$C$89^((I$35-Drivers!$C$109)-Drivers!$C$87))</f>
        <v>0.09</v>
      </c>
      <c r="J70" s="24" t="n">
        <f aca="false">Drivers!$C$107*Drivers!$C$108*IF((J$35-Drivers!$C$109)&lt;0,0,IF((J$35-Drivers!$C$109)&gt;=7,1,INDEX(Drivers!$D$86:$J$86,(J$35-Drivers!$C$109)+1)))*IF((J$35-Drivers!$C$109)&lt;Drivers!$C$87,1,Drivers!$C$88*Drivers!$C$89^((J$35-Drivers!$C$109)-Drivers!$C$87))</f>
        <v>0.13</v>
      </c>
      <c r="K70" s="24" t="n">
        <f aca="false">Drivers!$C$107*Drivers!$C$108*IF((K$35-Drivers!$C$109)&lt;0,0,IF((K$35-Drivers!$C$109)&gt;=7,1,INDEX(Drivers!$D$86:$J$86,(K$35-Drivers!$C$109)+1)))*IF((K$35-Drivers!$C$109)&lt;Drivers!$C$87,1,Drivers!$C$88*Drivers!$C$89^((K$35-Drivers!$C$109)-Drivers!$C$87))</f>
        <v>0.164</v>
      </c>
      <c r="L70" s="24" t="n">
        <f aca="false">Drivers!$C$107*Drivers!$C$108*IF((L$35-Drivers!$C$109)&lt;0,0,IF((L$35-Drivers!$C$109)&gt;=7,1,INDEX(Drivers!$D$86:$J$86,(L$35-Drivers!$C$109)+1)))*IF((L$35-Drivers!$C$109)&lt;Drivers!$C$87,1,Drivers!$C$88*Drivers!$C$89^((L$35-Drivers!$C$109)-Drivers!$C$87))</f>
        <v>0.186</v>
      </c>
      <c r="M70" s="24" t="n">
        <f aca="false">Drivers!$C$107*Drivers!$C$108*IF((M$35-Drivers!$C$109)&lt;0,0,IF((M$35-Drivers!$C$109)&gt;=7,1,INDEX(Drivers!$D$86:$J$86,(M$35-Drivers!$C$109)+1)))*IF((M$35-Drivers!$C$109)&lt;Drivers!$C$87,1,Drivers!$C$88*Drivers!$C$89^((M$35-Drivers!$C$109)-Drivers!$C$87))</f>
        <v>0.2</v>
      </c>
      <c r="N70" s="24" t="n">
        <f aca="false">Drivers!$C$107*Drivers!$C$108*IF((N$35-Drivers!$C$109)&lt;0,0,IF((N$35-Drivers!$C$109)&gt;=7,1,INDEX(Drivers!$D$86:$J$86,(N$35-Drivers!$C$109)+1)))*IF((N$35-Drivers!$C$109)&lt;Drivers!$C$87,1,Drivers!$C$88*Drivers!$C$89^((N$35-Drivers!$C$109)-Drivers!$C$87))</f>
        <v>0.2</v>
      </c>
      <c r="O70" s="24" t="n">
        <f aca="false">Drivers!$C$107*Drivers!$C$108*IF((O$35-Drivers!$C$109)&lt;0,0,IF((O$35-Drivers!$C$109)&gt;=7,1,INDEX(Drivers!$D$86:$J$86,(O$35-Drivers!$C$109)+1)))*IF((O$35-Drivers!$C$109)&lt;Drivers!$C$87,1,Drivers!$C$88*Drivers!$C$89^((O$35-Drivers!$C$109)-Drivers!$C$87))</f>
        <v>0.2</v>
      </c>
      <c r="P70" s="24" t="n">
        <f aca="false">Drivers!$C$107*Drivers!$C$108*IF((P$35-Drivers!$C$109)&lt;0,0,IF((P$35-Drivers!$C$109)&gt;=7,1,INDEX(Drivers!$D$86:$J$86,(P$35-Drivers!$C$109)+1)))*IF((P$35-Drivers!$C$109)&lt;Drivers!$C$87,1,Drivers!$C$88*Drivers!$C$89^((P$35-Drivers!$C$109)-Drivers!$C$87))</f>
        <v>0.2</v>
      </c>
      <c r="Q70" s="24" t="n">
        <f aca="false">Drivers!$C$107*Drivers!$C$108*IF((Q$35-Drivers!$C$109)&lt;0,0,IF((Q$35-Drivers!$C$109)&gt;=7,1,INDEX(Drivers!$D$86:$J$86,(Q$35-Drivers!$C$109)+1)))*IF((Q$35-Drivers!$C$109)&lt;Drivers!$C$87,1,Drivers!$C$88*Drivers!$C$89^((Q$35-Drivers!$C$109)-Drivers!$C$87))</f>
        <v>0.2</v>
      </c>
      <c r="R70" s="24" t="n">
        <f aca="false">Drivers!$C$107*Drivers!$C$108*IF((R$35-Drivers!$C$109)&lt;0,0,IF((R$35-Drivers!$C$109)&gt;=7,1,INDEX(Drivers!$D$86:$J$86,(R$35-Drivers!$C$109)+1)))*IF((R$35-Drivers!$C$109)&lt;Drivers!$C$87,1,Drivers!$C$88*Drivers!$C$89^((R$35-Drivers!$C$109)-Drivers!$C$87))</f>
        <v>0.2</v>
      </c>
      <c r="S70" s="24" t="n">
        <f aca="false">Drivers!$C$107*Drivers!$C$108*IF((S$35-Drivers!$C$109)&lt;0,0,IF((S$35-Drivers!$C$109)&gt;=7,1,INDEX(Drivers!$D$86:$J$86,(S$35-Drivers!$C$109)+1)))*IF((S$35-Drivers!$C$109)&lt;Drivers!$C$87,1,Drivers!$C$88*Drivers!$C$89^((S$35-Drivers!$C$109)-Drivers!$C$87))</f>
        <v>0.16</v>
      </c>
      <c r="T70" s="24" t="n">
        <f aca="false">Drivers!$C$107*Drivers!$C$108*IF((T$35-Drivers!$C$109)&lt;0,0,IF((T$35-Drivers!$C$109)&gt;=7,1,INDEX(Drivers!$D$86:$J$86,(T$35-Drivers!$C$109)+1)))*IF((T$35-Drivers!$C$109)&lt;Drivers!$C$87,1,Drivers!$C$88*Drivers!$C$89^((T$35-Drivers!$C$109)-Drivers!$C$87))</f>
        <v>0.1552</v>
      </c>
      <c r="U70" s="24" t="n">
        <f aca="false">Drivers!$C$107*Drivers!$C$108*IF((U$35-Drivers!$C$109)&lt;0,0,IF((U$35-Drivers!$C$109)&gt;=7,1,INDEX(Drivers!$D$86:$J$86,(U$35-Drivers!$C$109)+1)))*IF((U$35-Drivers!$C$109)&lt;Drivers!$C$87,1,Drivers!$C$88*Drivers!$C$89^((U$35-Drivers!$C$109)-Drivers!$C$87))</f>
        <v>0.150544</v>
      </c>
    </row>
    <row r="71" customFormat="false" ht="15" hidden="false" customHeight="false" outlineLevel="0" collapsed="false">
      <c r="A71" s="9" t="s">
        <v>360</v>
      </c>
      <c r="B71" s="35" t="s">
        <v>326</v>
      </c>
      <c r="C71" s="24" t="n">
        <f aca="false">Drivers!$D$111</f>
        <v>0.12</v>
      </c>
      <c r="D71" s="24" t="n">
        <f aca="false">Drivers!$E$111+Drivers!$C$112*Drivers!$C$113/3</f>
        <v>0.190833333333333</v>
      </c>
      <c r="E71" s="24" t="n">
        <f aca="false">Drivers!$F$111+Drivers!$C$112*Drivers!$C$113/3</f>
        <v>0.190833333333333</v>
      </c>
      <c r="F71" s="24" t="n">
        <f aca="false">Drivers!$G$111+Drivers!$C$112*Drivers!$C$113/3</f>
        <v>0.140833333333333</v>
      </c>
      <c r="G71" s="24" t="n">
        <f aca="false">Drivers!$H$111</f>
        <v>0.08</v>
      </c>
      <c r="H71" s="24" t="n">
        <f aca="false">0</f>
        <v>0</v>
      </c>
      <c r="I71" s="24" t="n">
        <f aca="false">0</f>
        <v>0</v>
      </c>
      <c r="J71" s="24" t="n">
        <f aca="false">0</f>
        <v>0</v>
      </c>
      <c r="K71" s="24" t="n">
        <f aca="false">0</f>
        <v>0</v>
      </c>
      <c r="L71" s="24" t="n">
        <f aca="false">0</f>
        <v>0</v>
      </c>
      <c r="M71" s="24" t="n">
        <f aca="false">0</f>
        <v>0</v>
      </c>
      <c r="N71" s="24" t="n">
        <f aca="false">0</f>
        <v>0</v>
      </c>
      <c r="O71" s="24" t="n">
        <f aca="false">0</f>
        <v>0</v>
      </c>
      <c r="P71" s="24" t="n">
        <f aca="false">0</f>
        <v>0</v>
      </c>
      <c r="Q71" s="24" t="n">
        <f aca="false">0</f>
        <v>0</v>
      </c>
      <c r="R71" s="24" t="n">
        <f aca="false">0</f>
        <v>0</v>
      </c>
      <c r="S71" s="24" t="n">
        <f aca="false">0</f>
        <v>0</v>
      </c>
      <c r="T71" s="24" t="n">
        <f aca="false">0</f>
        <v>0</v>
      </c>
      <c r="U71" s="24" t="n">
        <f aca="false">0</f>
        <v>0</v>
      </c>
    </row>
    <row r="72" customFormat="false" ht="15" hidden="false" customHeight="false" outlineLevel="0" collapsed="false">
      <c r="A72" s="3" t="s">
        <v>361</v>
      </c>
      <c r="B72" s="35" t="s">
        <v>326</v>
      </c>
      <c r="C72" s="29" t="n">
        <f aca="false">C70*IF((C$35-Drivers!$C$109)&lt;0,0,0.1+(Drivers!$C$110-0.1)*MIN((C$35-Drivers!$C$109)/5,1))-C71</f>
        <v>-0.12</v>
      </c>
      <c r="D72" s="29" t="n">
        <f aca="false">D70*IF((D$35-Drivers!$C$109)&lt;0,0,0.1+(Drivers!$C$110-0.1)*MIN((D$35-Drivers!$C$109)/5,1))-D71</f>
        <v>-0.190833333333333</v>
      </c>
      <c r="E72" s="29" t="n">
        <f aca="false">E70*IF((E$35-Drivers!$C$109)&lt;0,0,0.1+(Drivers!$C$110-0.1)*MIN((E$35-Drivers!$C$109)/5,1))-E71</f>
        <v>-0.190833333333333</v>
      </c>
      <c r="F72" s="29" t="n">
        <f aca="false">F70*IF((F$35-Drivers!$C$109)&lt;0,0,0.1+(Drivers!$C$110-0.1)*MIN((F$35-Drivers!$C$109)/5,1))-F71</f>
        <v>-0.140833333333333</v>
      </c>
      <c r="G72" s="29" t="n">
        <f aca="false">G70*IF((G$35-Drivers!$C$109)&lt;0,0,0.1+(Drivers!$C$110-0.1)*MIN((G$35-Drivers!$C$109)/5,1))-G71</f>
        <v>-0.0784</v>
      </c>
      <c r="H72" s="29" t="n">
        <f aca="false">H70*IF((H$35-Drivers!$C$109)&lt;0,0,0.1+(Drivers!$C$110-0.1)*MIN((H$35-Drivers!$C$109)/5,1))-H71</f>
        <v>0.0085</v>
      </c>
      <c r="I72" s="29" t="n">
        <f aca="false">I70*IF((I$35-Drivers!$C$109)&lt;0,0,0.1+(Drivers!$C$110-0.1)*MIN((I$35-Drivers!$C$109)/5,1))-I71</f>
        <v>0.0216</v>
      </c>
      <c r="J72" s="29" t="n">
        <f aca="false">J70*IF((J$35-Drivers!$C$109)&lt;0,0,0.1+(Drivers!$C$110-0.1)*MIN((J$35-Drivers!$C$109)/5,1))-J71</f>
        <v>0.0403</v>
      </c>
      <c r="K72" s="29" t="n">
        <f aca="false">K70*IF((K$35-Drivers!$C$109)&lt;0,0,0.1+(Drivers!$C$110-0.1)*MIN((K$35-Drivers!$C$109)/5,1))-K71</f>
        <v>0.06232</v>
      </c>
      <c r="L72" s="29" t="n">
        <f aca="false">L70*IF((L$35-Drivers!$C$109)&lt;0,0,0.1+(Drivers!$C$110-0.1)*MIN((L$35-Drivers!$C$109)/5,1))-L71</f>
        <v>0.0837</v>
      </c>
      <c r="M72" s="29" t="n">
        <f aca="false">M70*IF((M$35-Drivers!$C$109)&lt;0,0,0.1+(Drivers!$C$110-0.1)*MIN((M$35-Drivers!$C$109)/5,1))-M71</f>
        <v>0.09</v>
      </c>
      <c r="N72" s="29" t="n">
        <f aca="false">N70*IF((N$35-Drivers!$C$109)&lt;0,0,0.1+(Drivers!$C$110-0.1)*MIN((N$35-Drivers!$C$109)/5,1))-N71</f>
        <v>0.09</v>
      </c>
      <c r="O72" s="29" t="n">
        <f aca="false">O70*IF((O$35-Drivers!$C$109)&lt;0,0,0.1+(Drivers!$C$110-0.1)*MIN((O$35-Drivers!$C$109)/5,1))-O71</f>
        <v>0.09</v>
      </c>
      <c r="P72" s="29" t="n">
        <f aca="false">P70*IF((P$35-Drivers!$C$109)&lt;0,0,0.1+(Drivers!$C$110-0.1)*MIN((P$35-Drivers!$C$109)/5,1))-P71</f>
        <v>0.09</v>
      </c>
      <c r="Q72" s="29" t="n">
        <f aca="false">Q70*IF((Q$35-Drivers!$C$109)&lt;0,0,0.1+(Drivers!$C$110-0.1)*MIN((Q$35-Drivers!$C$109)/5,1))-Q71</f>
        <v>0.09</v>
      </c>
      <c r="R72" s="29" t="n">
        <f aca="false">R70*IF((R$35-Drivers!$C$109)&lt;0,0,0.1+(Drivers!$C$110-0.1)*MIN((R$35-Drivers!$C$109)/5,1))-R71</f>
        <v>0.09</v>
      </c>
      <c r="S72" s="29" t="n">
        <f aca="false">S70*IF((S$35-Drivers!$C$109)&lt;0,0,0.1+(Drivers!$C$110-0.1)*MIN((S$35-Drivers!$C$109)/5,1))-S71</f>
        <v>0.072</v>
      </c>
      <c r="T72" s="29" t="n">
        <f aca="false">T70*IF((T$35-Drivers!$C$109)&lt;0,0,0.1+(Drivers!$C$110-0.1)*MIN((T$35-Drivers!$C$109)/5,1))-T71</f>
        <v>0.06984</v>
      </c>
      <c r="U72" s="29" t="n">
        <f aca="false">U70*IF((U$35-Drivers!$C$109)&lt;0,0,0.1+(Drivers!$C$110-0.1)*MIN((U$35-Drivers!$C$109)/5,1))-U71</f>
        <v>0.0677448</v>
      </c>
    </row>
    <row r="73" customFormat="false" ht="15" hidden="false" customHeight="false" outlineLevel="0" collapsed="false">
      <c r="A73" s="9" t="s">
        <v>362</v>
      </c>
      <c r="B73" s="35" t="s">
        <v>326</v>
      </c>
      <c r="C73" s="24" t="n">
        <f aca="false">Drivers!$C$114*Drivers!$C$115*IF((C$35-Drivers!$C$116)&lt;0,0,MIN(((C$35-Drivers!$C$116)+1)/5,1))</f>
        <v>0</v>
      </c>
      <c r="D73" s="24" t="n">
        <f aca="false">Drivers!$C$114*Drivers!$C$115*IF((D$35-Drivers!$C$116)&lt;0,0,MIN(((D$35-Drivers!$C$116)+1)/5,1))</f>
        <v>0.044</v>
      </c>
      <c r="E73" s="24" t="n">
        <f aca="false">Drivers!$C$114*Drivers!$C$115*IF((E$35-Drivers!$C$116)&lt;0,0,MIN(((E$35-Drivers!$C$116)+1)/5,1))</f>
        <v>0.088</v>
      </c>
      <c r="F73" s="24" t="n">
        <f aca="false">Drivers!$C$114*Drivers!$C$115*IF((F$35-Drivers!$C$116)&lt;0,0,MIN(((F$35-Drivers!$C$116)+1)/5,1))</f>
        <v>0.132</v>
      </c>
      <c r="G73" s="24" t="n">
        <f aca="false">Drivers!$C$114*Drivers!$C$115*IF((G$35-Drivers!$C$116)&lt;0,0,MIN(((G$35-Drivers!$C$116)+1)/5,1))</f>
        <v>0.176</v>
      </c>
      <c r="H73" s="24" t="n">
        <f aca="false">Drivers!$C$114*Drivers!$C$115*IF((H$35-Drivers!$C$116)&lt;0,0,MIN(((H$35-Drivers!$C$116)+1)/5,1))</f>
        <v>0.22</v>
      </c>
      <c r="I73" s="24" t="n">
        <f aca="false">Drivers!$C$114*Drivers!$C$115*IF((I$35-Drivers!$C$116)&lt;0,0,MIN(((I$35-Drivers!$C$116)+1)/5,1))</f>
        <v>0.22</v>
      </c>
      <c r="J73" s="24" t="n">
        <f aca="false">Drivers!$C$114*Drivers!$C$115*IF((J$35-Drivers!$C$116)&lt;0,0,MIN(((J$35-Drivers!$C$116)+1)/5,1))</f>
        <v>0.22</v>
      </c>
      <c r="K73" s="24" t="n">
        <f aca="false">Drivers!$C$114*Drivers!$C$115*IF((K$35-Drivers!$C$116)&lt;0,0,MIN(((K$35-Drivers!$C$116)+1)/5,1))</f>
        <v>0.22</v>
      </c>
      <c r="L73" s="24" t="n">
        <f aca="false">Drivers!$C$114*Drivers!$C$115*IF((L$35-Drivers!$C$116)&lt;0,0,MIN(((L$35-Drivers!$C$116)+1)/5,1))</f>
        <v>0.22</v>
      </c>
      <c r="M73" s="24" t="n">
        <f aca="false">Drivers!$C$114*Drivers!$C$115*IF((M$35-Drivers!$C$116)&lt;0,0,MIN(((M$35-Drivers!$C$116)+1)/5,1))</f>
        <v>0.22</v>
      </c>
      <c r="N73" s="24" t="n">
        <f aca="false">Drivers!$C$114*Drivers!$C$115*IF((N$35-Drivers!$C$116)&lt;0,0,MIN(((N$35-Drivers!$C$116)+1)/5,1))</f>
        <v>0.22</v>
      </c>
      <c r="O73" s="24" t="n">
        <f aca="false">Drivers!$C$114*Drivers!$C$115*IF((O$35-Drivers!$C$116)&lt;0,0,MIN(((O$35-Drivers!$C$116)+1)/5,1))</f>
        <v>0.22</v>
      </c>
      <c r="P73" s="24" t="n">
        <f aca="false">Drivers!$C$114*Drivers!$C$115*IF((P$35-Drivers!$C$116)&lt;0,0,MIN(((P$35-Drivers!$C$116)+1)/5,1))</f>
        <v>0.22</v>
      </c>
      <c r="Q73" s="24" t="n">
        <f aca="false">Drivers!$C$114*Drivers!$C$115*IF((Q$35-Drivers!$C$116)&lt;0,0,MIN(((Q$35-Drivers!$C$116)+1)/5,1))</f>
        <v>0.22</v>
      </c>
      <c r="R73" s="24" t="n">
        <f aca="false">Drivers!$C$114*Drivers!$C$115*IF((R$35-Drivers!$C$116)&lt;0,0,MIN(((R$35-Drivers!$C$116)+1)/5,1))</f>
        <v>0.22</v>
      </c>
      <c r="S73" s="24" t="n">
        <f aca="false">Drivers!$C$114*Drivers!$C$115*IF((S$35-Drivers!$C$116)&lt;0,0,MIN(((S$35-Drivers!$C$116)+1)/5,1))</f>
        <v>0.22</v>
      </c>
      <c r="T73" s="24" t="n">
        <f aca="false">Drivers!$C$114*Drivers!$C$115*IF((T$35-Drivers!$C$116)&lt;0,0,MIN(((T$35-Drivers!$C$116)+1)/5,1))</f>
        <v>0.22</v>
      </c>
      <c r="U73" s="24" t="n">
        <f aca="false">Drivers!$C$114*Drivers!$C$115*IF((U$35-Drivers!$C$116)&lt;0,0,MIN(((U$35-Drivers!$C$116)+1)/5,1))</f>
        <v>0.22</v>
      </c>
    </row>
    <row r="74" customFormat="false" ht="15" hidden="false" customHeight="false" outlineLevel="0" collapsed="false">
      <c r="A74" s="9" t="s">
        <v>363</v>
      </c>
      <c r="B74" s="35" t="s">
        <v>326</v>
      </c>
      <c r="C74" s="24" t="n">
        <f aca="false">Drivers!$C$120*Drivers!$C$121*IF((C$35-Drivers!$C$122)&lt;0,0,MIN(((C$35-Drivers!$C$122)+1)/5,1))</f>
        <v>0</v>
      </c>
      <c r="D74" s="24" t="n">
        <f aca="false">Drivers!$C$120*Drivers!$C$121*IF((D$35-Drivers!$C$122)&lt;0,0,MIN(((D$35-Drivers!$C$122)+1)/5,1))</f>
        <v>0</v>
      </c>
      <c r="E74" s="24" t="n">
        <f aca="false">Drivers!$C$120*Drivers!$C$121*IF((E$35-Drivers!$C$122)&lt;0,0,MIN(((E$35-Drivers!$C$122)+1)/5,1))</f>
        <v>0</v>
      </c>
      <c r="F74" s="24" t="n">
        <f aca="false">Drivers!$C$120*Drivers!$C$121*IF((F$35-Drivers!$C$122)&lt;0,0,MIN(((F$35-Drivers!$C$122)+1)/5,1))</f>
        <v>0</v>
      </c>
      <c r="G74" s="24" t="n">
        <f aca="false">Drivers!$C$120*Drivers!$C$121*IF((G$35-Drivers!$C$122)&lt;0,0,MIN(((G$35-Drivers!$C$122)+1)/5,1))</f>
        <v>0.016</v>
      </c>
      <c r="H74" s="24" t="n">
        <f aca="false">Drivers!$C$120*Drivers!$C$121*IF((H$35-Drivers!$C$122)&lt;0,0,MIN(((H$35-Drivers!$C$122)+1)/5,1))</f>
        <v>0.032</v>
      </c>
      <c r="I74" s="24" t="n">
        <f aca="false">Drivers!$C$120*Drivers!$C$121*IF((I$35-Drivers!$C$122)&lt;0,0,MIN(((I$35-Drivers!$C$122)+1)/5,1))</f>
        <v>0.048</v>
      </c>
      <c r="J74" s="24" t="n">
        <f aca="false">Drivers!$C$120*Drivers!$C$121*IF((J$35-Drivers!$C$122)&lt;0,0,MIN(((J$35-Drivers!$C$122)+1)/5,1))</f>
        <v>0.064</v>
      </c>
      <c r="K74" s="24" t="n">
        <f aca="false">Drivers!$C$120*Drivers!$C$121*IF((K$35-Drivers!$C$122)&lt;0,0,MIN(((K$35-Drivers!$C$122)+1)/5,1))</f>
        <v>0.08</v>
      </c>
      <c r="L74" s="24" t="n">
        <f aca="false">Drivers!$C$120*Drivers!$C$121*IF((L$35-Drivers!$C$122)&lt;0,0,MIN(((L$35-Drivers!$C$122)+1)/5,1))</f>
        <v>0.08</v>
      </c>
      <c r="M74" s="24" t="n">
        <f aca="false">Drivers!$C$120*Drivers!$C$121*IF((M$35-Drivers!$C$122)&lt;0,0,MIN(((M$35-Drivers!$C$122)+1)/5,1))</f>
        <v>0.08</v>
      </c>
      <c r="N74" s="24" t="n">
        <f aca="false">Drivers!$C$120*Drivers!$C$121*IF((N$35-Drivers!$C$122)&lt;0,0,MIN(((N$35-Drivers!$C$122)+1)/5,1))</f>
        <v>0.08</v>
      </c>
      <c r="O74" s="24" t="n">
        <f aca="false">Drivers!$C$120*Drivers!$C$121*IF((O$35-Drivers!$C$122)&lt;0,0,MIN(((O$35-Drivers!$C$122)+1)/5,1))</f>
        <v>0.08</v>
      </c>
      <c r="P74" s="24" t="n">
        <f aca="false">Drivers!$C$120*Drivers!$C$121*IF((P$35-Drivers!$C$122)&lt;0,0,MIN(((P$35-Drivers!$C$122)+1)/5,1))</f>
        <v>0.08</v>
      </c>
      <c r="Q74" s="24" t="n">
        <f aca="false">Drivers!$C$120*Drivers!$C$121*IF((Q$35-Drivers!$C$122)&lt;0,0,MIN(((Q$35-Drivers!$C$122)+1)/5,1))</f>
        <v>0.08</v>
      </c>
      <c r="R74" s="24" t="n">
        <f aca="false">Drivers!$C$120*Drivers!$C$121*IF((R$35-Drivers!$C$122)&lt;0,0,MIN(((R$35-Drivers!$C$122)+1)/5,1))</f>
        <v>0.08</v>
      </c>
      <c r="S74" s="24" t="n">
        <f aca="false">Drivers!$C$120*Drivers!$C$121*IF((S$35-Drivers!$C$122)&lt;0,0,MIN(((S$35-Drivers!$C$122)+1)/5,1))</f>
        <v>0.08</v>
      </c>
      <c r="T74" s="24" t="n">
        <f aca="false">Drivers!$C$120*Drivers!$C$121*IF((T$35-Drivers!$C$122)&lt;0,0,MIN(((T$35-Drivers!$C$122)+1)/5,1))</f>
        <v>0.08</v>
      </c>
      <c r="U74" s="24" t="n">
        <f aca="false">Drivers!$C$120*Drivers!$C$121*IF((U$35-Drivers!$C$122)&lt;0,0,MIN(((U$35-Drivers!$C$122)+1)/5,1))</f>
        <v>0.08</v>
      </c>
    </row>
    <row r="75" customFormat="false" ht="15" hidden="false" customHeight="false" outlineLevel="0" collapsed="false">
      <c r="A75" s="9" t="s">
        <v>364</v>
      </c>
      <c r="B75" s="35" t="s">
        <v>326</v>
      </c>
      <c r="C75" s="24" t="n">
        <f aca="false">Drivers!$C$125*Drivers!$C$126*IF((C$35-Drivers!$C$127)&lt;0,0,MIN(((C$35-Drivers!$C$127)+1)/5,1))*Drivers!$C$128</f>
        <v>0</v>
      </c>
      <c r="D75" s="24" t="n">
        <f aca="false">Drivers!$C$125*Drivers!$C$126*IF((D$35-Drivers!$C$127)&lt;0,0,MIN(((D$35-Drivers!$C$127)+1)/5,1))*Drivers!$C$128</f>
        <v>0</v>
      </c>
      <c r="E75" s="24" t="n">
        <f aca="false">Drivers!$C$125*Drivers!$C$126*IF((E$35-Drivers!$C$127)&lt;0,0,MIN(((E$35-Drivers!$C$127)+1)/5,1))*Drivers!$C$128</f>
        <v>0</v>
      </c>
      <c r="F75" s="24" t="n">
        <f aca="false">Drivers!$C$125*Drivers!$C$126*IF((F$35-Drivers!$C$127)&lt;0,0,MIN(((F$35-Drivers!$C$127)+1)/5,1))*Drivers!$C$128</f>
        <v>0</v>
      </c>
      <c r="G75" s="24" t="n">
        <f aca="false">Drivers!$C$125*Drivers!$C$126*IF((G$35-Drivers!$C$127)&lt;0,0,MIN(((G$35-Drivers!$C$127)+1)/5,1))*Drivers!$C$128</f>
        <v>0.0016</v>
      </c>
      <c r="H75" s="24" t="n">
        <f aca="false">Drivers!$C$125*Drivers!$C$126*IF((H$35-Drivers!$C$127)&lt;0,0,MIN(((H$35-Drivers!$C$127)+1)/5,1))*Drivers!$C$128</f>
        <v>0.0032</v>
      </c>
      <c r="I75" s="24" t="n">
        <f aca="false">Drivers!$C$125*Drivers!$C$126*IF((I$35-Drivers!$C$127)&lt;0,0,MIN(((I$35-Drivers!$C$127)+1)/5,1))*Drivers!$C$128</f>
        <v>0.0048</v>
      </c>
      <c r="J75" s="24" t="n">
        <f aca="false">Drivers!$C$125*Drivers!$C$126*IF((J$35-Drivers!$C$127)&lt;0,0,MIN(((J$35-Drivers!$C$127)+1)/5,1))*Drivers!$C$128</f>
        <v>0.0064</v>
      </c>
      <c r="K75" s="24" t="n">
        <f aca="false">Drivers!$C$125*Drivers!$C$126*IF((K$35-Drivers!$C$127)&lt;0,0,MIN(((K$35-Drivers!$C$127)+1)/5,1))*Drivers!$C$128</f>
        <v>0.008</v>
      </c>
      <c r="L75" s="24" t="n">
        <f aca="false">Drivers!$C$125*Drivers!$C$126*IF((L$35-Drivers!$C$127)&lt;0,0,MIN(((L$35-Drivers!$C$127)+1)/5,1))*Drivers!$C$128</f>
        <v>0.008</v>
      </c>
      <c r="M75" s="24" t="n">
        <f aca="false">Drivers!$C$125*Drivers!$C$126*IF((M$35-Drivers!$C$127)&lt;0,0,MIN(((M$35-Drivers!$C$127)+1)/5,1))*Drivers!$C$128</f>
        <v>0.008</v>
      </c>
      <c r="N75" s="24" t="n">
        <f aca="false">Drivers!$C$125*Drivers!$C$126*IF((N$35-Drivers!$C$127)&lt;0,0,MIN(((N$35-Drivers!$C$127)+1)/5,1))*Drivers!$C$128</f>
        <v>0.008</v>
      </c>
      <c r="O75" s="24" t="n">
        <f aca="false">Drivers!$C$125*Drivers!$C$126*IF((O$35-Drivers!$C$127)&lt;0,0,MIN(((O$35-Drivers!$C$127)+1)/5,1))*Drivers!$C$128</f>
        <v>0.008</v>
      </c>
      <c r="P75" s="24" t="n">
        <f aca="false">Drivers!$C$125*Drivers!$C$126*IF((P$35-Drivers!$C$127)&lt;0,0,MIN(((P$35-Drivers!$C$127)+1)/5,1))*Drivers!$C$128</f>
        <v>0.008</v>
      </c>
      <c r="Q75" s="24" t="n">
        <f aca="false">Drivers!$C$125*Drivers!$C$126*IF((Q$35-Drivers!$C$127)&lt;0,0,MIN(((Q$35-Drivers!$C$127)+1)/5,1))*Drivers!$C$128</f>
        <v>0.008</v>
      </c>
      <c r="R75" s="24" t="n">
        <f aca="false">Drivers!$C$125*Drivers!$C$126*IF((R$35-Drivers!$C$127)&lt;0,0,MIN(((R$35-Drivers!$C$127)+1)/5,1))*Drivers!$C$128</f>
        <v>0.008</v>
      </c>
      <c r="S75" s="24" t="n">
        <f aca="false">Drivers!$C$125*Drivers!$C$126*IF((S$35-Drivers!$C$127)&lt;0,0,MIN(((S$35-Drivers!$C$127)+1)/5,1))*Drivers!$C$128</f>
        <v>0.008</v>
      </c>
      <c r="T75" s="24" t="n">
        <f aca="false">Drivers!$C$125*Drivers!$C$126*IF((T$35-Drivers!$C$127)&lt;0,0,MIN(((T$35-Drivers!$C$127)+1)/5,1))*Drivers!$C$128</f>
        <v>0.008</v>
      </c>
      <c r="U75" s="24" t="n">
        <f aca="false">Drivers!$C$125*Drivers!$C$126*IF((U$35-Drivers!$C$127)&lt;0,0,MIN(((U$35-Drivers!$C$127)+1)/5,1))*Drivers!$C$128</f>
        <v>0.008</v>
      </c>
    </row>
    <row r="76" customFormat="false" ht="15" hidden="false" customHeight="false" outlineLevel="0" collapsed="false">
      <c r="A76" s="3" t="s">
        <v>365</v>
      </c>
      <c r="B76" s="35" t="s">
        <v>326</v>
      </c>
      <c r="C76" s="29" t="n">
        <f aca="false">C73*Drivers!$C$117+Drivers!$C$114*(Drivers!$C$118*(C$35=Drivers!$C$116)+Drivers!$C$119*(C$35=Drivers!$C$116+3))+C74*Drivers!$C$123-Drivers!$C$124*Drivers!$C$114*AND(C$35&gt;=2027,C$35&lt;=2030)+C75</f>
        <v>-0.044</v>
      </c>
      <c r="D76" s="29" t="n">
        <f aca="false">D73*Drivers!$C$117+Drivers!$C$114*(Drivers!$C$118*(D$35=Drivers!$C$116)+Drivers!$C$119*(D$35=Drivers!$C$116+3))+D74*Drivers!$C$123-Drivers!$C$124*Drivers!$C$114*AND(D$35&gt;=2027,D$35&lt;=2030)+D75</f>
        <v>0.0231</v>
      </c>
      <c r="E76" s="29" t="n">
        <f aca="false">E73*Drivers!$C$117+Drivers!$C$114*(Drivers!$C$118*(E$35=Drivers!$C$116)+Drivers!$C$119*(E$35=Drivers!$C$116+3))+E74*Drivers!$C$123-Drivers!$C$124*Drivers!$C$114*AND(E$35&gt;=2027,E$35&lt;=2030)+E75</f>
        <v>-0.0308</v>
      </c>
      <c r="F76" s="29" t="n">
        <f aca="false">F73*Drivers!$C$117+Drivers!$C$114*(Drivers!$C$118*(F$35=Drivers!$C$116)+Drivers!$C$119*(F$35=Drivers!$C$116+3))+F74*Drivers!$C$123-Drivers!$C$124*Drivers!$C$114*AND(F$35&gt;=2027,F$35&lt;=2030)+F75</f>
        <v>-0.0242</v>
      </c>
      <c r="G76" s="29" t="n">
        <f aca="false">G73*Drivers!$C$117+Drivers!$C$114*(Drivers!$C$118*(G$35=Drivers!$C$116)+Drivers!$C$119*(G$35=Drivers!$C$116+3))+G74*Drivers!$C$123-Drivers!$C$124*Drivers!$C$114*AND(G$35&gt;=2027,G$35&lt;=2030)+G75</f>
        <v>0.091</v>
      </c>
      <c r="H76" s="29" t="n">
        <f aca="false">H73*Drivers!$C$117+Drivers!$C$114*(Drivers!$C$118*(H$35=Drivers!$C$116)+Drivers!$C$119*(H$35=Drivers!$C$116+3))+H74*Drivers!$C$123-Drivers!$C$124*Drivers!$C$114*AND(H$35&gt;=2027,H$35&lt;=2030)+H75</f>
        <v>0.0522</v>
      </c>
      <c r="I76" s="29" t="n">
        <f aca="false">I73*Drivers!$C$117+Drivers!$C$114*(Drivers!$C$118*(I$35=Drivers!$C$116)+Drivers!$C$119*(I$35=Drivers!$C$116+3))+I74*Drivers!$C$123-Drivers!$C$124*Drivers!$C$114*AND(I$35&gt;=2027,I$35&lt;=2030)+I75</f>
        <v>0.0618</v>
      </c>
      <c r="J76" s="29" t="n">
        <f aca="false">J73*Drivers!$C$117+Drivers!$C$114*(Drivers!$C$118*(J$35=Drivers!$C$116)+Drivers!$C$119*(J$35=Drivers!$C$116+3))+J74*Drivers!$C$123-Drivers!$C$124*Drivers!$C$114*AND(J$35&gt;=2027,J$35&lt;=2030)+J75</f>
        <v>0.0714</v>
      </c>
      <c r="K76" s="29" t="n">
        <f aca="false">K73*Drivers!$C$117+Drivers!$C$114*(Drivers!$C$118*(K$35=Drivers!$C$116)+Drivers!$C$119*(K$35=Drivers!$C$116+3))+K74*Drivers!$C$123-Drivers!$C$124*Drivers!$C$114*AND(K$35&gt;=2027,K$35&lt;=2030)+K75</f>
        <v>0.081</v>
      </c>
      <c r="L76" s="29" t="n">
        <f aca="false">L73*Drivers!$C$117+Drivers!$C$114*(Drivers!$C$118*(L$35=Drivers!$C$116)+Drivers!$C$119*(L$35=Drivers!$C$116+3))+L74*Drivers!$C$123-Drivers!$C$124*Drivers!$C$114*AND(L$35&gt;=2027,L$35&lt;=2030)+L75</f>
        <v>0.081</v>
      </c>
      <c r="M76" s="29" t="n">
        <f aca="false">M73*Drivers!$C$117+Drivers!$C$114*(Drivers!$C$118*(M$35=Drivers!$C$116)+Drivers!$C$119*(M$35=Drivers!$C$116+3))+M74*Drivers!$C$123-Drivers!$C$124*Drivers!$C$114*AND(M$35&gt;=2027,M$35&lt;=2030)+M75</f>
        <v>0.081</v>
      </c>
      <c r="N76" s="29" t="n">
        <f aca="false">N73*Drivers!$C$117+Drivers!$C$114*(Drivers!$C$118*(N$35=Drivers!$C$116)+Drivers!$C$119*(N$35=Drivers!$C$116+3))+N74*Drivers!$C$123-Drivers!$C$124*Drivers!$C$114*AND(N$35&gt;=2027,N$35&lt;=2030)+N75</f>
        <v>0.081</v>
      </c>
      <c r="O76" s="29" t="n">
        <f aca="false">O73*Drivers!$C$117+Drivers!$C$114*(Drivers!$C$118*(O$35=Drivers!$C$116)+Drivers!$C$119*(O$35=Drivers!$C$116+3))+O74*Drivers!$C$123-Drivers!$C$124*Drivers!$C$114*AND(O$35&gt;=2027,O$35&lt;=2030)+O75</f>
        <v>0.081</v>
      </c>
      <c r="P76" s="29" t="n">
        <f aca="false">P73*Drivers!$C$117+Drivers!$C$114*(Drivers!$C$118*(P$35=Drivers!$C$116)+Drivers!$C$119*(P$35=Drivers!$C$116+3))+P74*Drivers!$C$123-Drivers!$C$124*Drivers!$C$114*AND(P$35&gt;=2027,P$35&lt;=2030)+P75</f>
        <v>0.081</v>
      </c>
      <c r="Q76" s="29" t="n">
        <f aca="false">Q73*Drivers!$C$117+Drivers!$C$114*(Drivers!$C$118*(Q$35=Drivers!$C$116)+Drivers!$C$119*(Q$35=Drivers!$C$116+3))+Q74*Drivers!$C$123-Drivers!$C$124*Drivers!$C$114*AND(Q$35&gt;=2027,Q$35&lt;=2030)+Q75</f>
        <v>0.081</v>
      </c>
      <c r="R76" s="29" t="n">
        <f aca="false">R73*Drivers!$C$117+Drivers!$C$114*(Drivers!$C$118*(R$35=Drivers!$C$116)+Drivers!$C$119*(R$35=Drivers!$C$116+3))+R74*Drivers!$C$123-Drivers!$C$124*Drivers!$C$114*AND(R$35&gt;=2027,R$35&lt;=2030)+R75</f>
        <v>0.081</v>
      </c>
      <c r="S76" s="29" t="n">
        <f aca="false">S73*Drivers!$C$117+Drivers!$C$114*(Drivers!$C$118*(S$35=Drivers!$C$116)+Drivers!$C$119*(S$35=Drivers!$C$116+3))+S74*Drivers!$C$123-Drivers!$C$124*Drivers!$C$114*AND(S$35&gt;=2027,S$35&lt;=2030)+S75</f>
        <v>0.081</v>
      </c>
      <c r="T76" s="29" t="n">
        <f aca="false">T73*Drivers!$C$117+Drivers!$C$114*(Drivers!$C$118*(T$35=Drivers!$C$116)+Drivers!$C$119*(T$35=Drivers!$C$116+3))+T74*Drivers!$C$123-Drivers!$C$124*Drivers!$C$114*AND(T$35&gt;=2027,T$35&lt;=2030)+T75</f>
        <v>0.081</v>
      </c>
      <c r="U76" s="29" t="n">
        <f aca="false">U73*Drivers!$C$117+Drivers!$C$114*(Drivers!$C$118*(U$35=Drivers!$C$116)+Drivers!$C$119*(U$35=Drivers!$C$116+3))+U74*Drivers!$C$123-Drivers!$C$124*Drivers!$C$114*AND(U$35&gt;=2027,U$35&lt;=2030)+U75</f>
        <v>0.081</v>
      </c>
    </row>
    <row r="77" customFormat="false" ht="15" hidden="false" customHeight="false" outlineLevel="0" collapsed="false">
      <c r="A77" s="3" t="s">
        <v>366</v>
      </c>
    </row>
    <row r="78" customFormat="false" ht="15" hidden="false" customHeight="false" outlineLevel="0" collapsed="false">
      <c r="A78" s="9" t="s">
        <v>298</v>
      </c>
      <c r="B78" s="35" t="s">
        <v>326</v>
      </c>
      <c r="C78" s="24" t="n">
        <f aca="false">Drivers!$C$129*(1+Drivers!$C$130)^C$36</f>
        <v>0.42</v>
      </c>
      <c r="D78" s="24" t="n">
        <f aca="false">Drivers!$C$129*(1+Drivers!$C$130)^D$36</f>
        <v>0.4284</v>
      </c>
      <c r="E78" s="24" t="n">
        <f aca="false">Drivers!$C$129*(1+Drivers!$C$130)^E$36</f>
        <v>0.436968</v>
      </c>
      <c r="F78" s="24" t="n">
        <f aca="false">Drivers!$C$129*(1+Drivers!$C$130)^F$36</f>
        <v>0.44570736</v>
      </c>
      <c r="G78" s="24" t="n">
        <f aca="false">Drivers!$C$129*(1+Drivers!$C$130)^G$36</f>
        <v>0.4546215072</v>
      </c>
      <c r="H78" s="24" t="n">
        <f aca="false">Drivers!$C$129*(1+Drivers!$C$130)^H$36</f>
        <v>0.463713937344</v>
      </c>
      <c r="I78" s="24" t="n">
        <f aca="false">Drivers!$C$129*(1+Drivers!$C$130)^I$36</f>
        <v>0.47298821609088</v>
      </c>
      <c r="J78" s="24" t="n">
        <f aca="false">Drivers!$C$129*(1+Drivers!$C$130)^J$36</f>
        <v>0.482447980412698</v>
      </c>
      <c r="K78" s="24" t="n">
        <f aca="false">Drivers!$C$129*(1+Drivers!$C$130)^K$36</f>
        <v>0.492096940020952</v>
      </c>
      <c r="L78" s="24" t="n">
        <f aca="false">Drivers!$C$129*(1+Drivers!$C$130)^L$36</f>
        <v>0.501938878821371</v>
      </c>
      <c r="M78" s="24" t="n">
        <f aca="false">Drivers!$C$129*(1+Drivers!$C$130)^M$36</f>
        <v>0.511977656397798</v>
      </c>
      <c r="N78" s="24" t="n">
        <f aca="false">Drivers!$C$129*(1+Drivers!$C$130)^N$36</f>
        <v>0.522217209525754</v>
      </c>
      <c r="O78" s="24" t="n">
        <f aca="false">Drivers!$C$129*(1+Drivers!$C$130)^O$36</f>
        <v>0.532661553716269</v>
      </c>
      <c r="P78" s="24" t="n">
        <f aca="false">Drivers!$C$129*(1+Drivers!$C$130)^P$36</f>
        <v>0.543314784790595</v>
      </c>
      <c r="Q78" s="24" t="n">
        <f aca="false">Drivers!$C$129*(1+Drivers!$C$130)^Q$36</f>
        <v>0.554181080486406</v>
      </c>
      <c r="R78" s="24" t="n">
        <f aca="false">Drivers!$C$129*(1+Drivers!$C$130)^R$36</f>
        <v>0.565264702096135</v>
      </c>
      <c r="S78" s="24" t="n">
        <f aca="false">Drivers!$C$129*(1+Drivers!$C$130)^S$36</f>
        <v>0.576569996138057</v>
      </c>
      <c r="T78" s="24" t="n">
        <f aca="false">Drivers!$C$129*(1+Drivers!$C$130)^T$36</f>
        <v>0.588101396060819</v>
      </c>
      <c r="U78" s="24" t="n">
        <f aca="false">Drivers!$C$129*(1+Drivers!$C$130)^U$36</f>
        <v>0.599863423982035</v>
      </c>
    </row>
    <row r="79" customFormat="false" ht="15" hidden="false" customHeight="false" outlineLevel="0" collapsed="false">
      <c r="A79" s="9" t="s">
        <v>367</v>
      </c>
      <c r="B79" s="35" t="s">
        <v>326</v>
      </c>
      <c r="C79" s="24" t="n">
        <f aca="false">Drivers!$D$131</f>
        <v>1.2</v>
      </c>
      <c r="D79" s="24" t="n">
        <f aca="false">Drivers!$E$131</f>
        <v>1.15</v>
      </c>
      <c r="E79" s="24" t="n">
        <f aca="false">Drivers!$F$131</f>
        <v>1.12</v>
      </c>
      <c r="F79" s="24" t="n">
        <f aca="false">Drivers!$G$131</f>
        <v>1.1</v>
      </c>
      <c r="G79" s="24" t="n">
        <f aca="false">Drivers!$H$131</f>
        <v>1.1</v>
      </c>
      <c r="H79" s="24" t="n">
        <f aca="false">Drivers!$I$131</f>
        <v>1.1</v>
      </c>
      <c r="I79" s="24" t="n">
        <f aca="false">H79*(1+Drivers!$C$132)</f>
        <v>1.122</v>
      </c>
      <c r="J79" s="24" t="n">
        <f aca="false">I79*(1+Drivers!$C$132)</f>
        <v>1.14444</v>
      </c>
      <c r="K79" s="24" t="n">
        <f aca="false">J79*(1+Drivers!$C$132)</f>
        <v>1.1673288</v>
      </c>
      <c r="L79" s="24" t="n">
        <f aca="false">K79*(1+Drivers!$C$132)</f>
        <v>1.190675376</v>
      </c>
      <c r="M79" s="24" t="n">
        <f aca="false">L79*(1+Drivers!$C$132)</f>
        <v>1.21448888352</v>
      </c>
      <c r="N79" s="24" t="n">
        <f aca="false">M79*(1+Drivers!$C$132)</f>
        <v>1.2387786611904</v>
      </c>
      <c r="O79" s="24" t="n">
        <f aca="false">N79*(1+Drivers!$C$132)</f>
        <v>1.26355423441421</v>
      </c>
      <c r="P79" s="24" t="n">
        <f aca="false">O79*(1+Drivers!$C$132)</f>
        <v>1.28882531910249</v>
      </c>
      <c r="Q79" s="24" t="n">
        <f aca="false">P79*(1+Drivers!$C$132)</f>
        <v>1.31460182548454</v>
      </c>
      <c r="R79" s="24" t="n">
        <f aca="false">Q79*(1+Drivers!$C$132)</f>
        <v>1.34089386199423</v>
      </c>
      <c r="S79" s="24" t="n">
        <f aca="false">R79*(1+Drivers!$C$132)</f>
        <v>1.36771173923412</v>
      </c>
      <c r="T79" s="24" t="n">
        <f aca="false">S79*(1+Drivers!$C$132)</f>
        <v>1.3950659740188</v>
      </c>
      <c r="U79" s="24" t="n">
        <f aca="false">T79*(1+Drivers!$C$132)</f>
        <v>1.42296729349918</v>
      </c>
    </row>
    <row r="80" customFormat="false" ht="15" hidden="false" customHeight="false" outlineLevel="0" collapsed="false">
      <c r="A80" s="9" t="s">
        <v>368</v>
      </c>
      <c r="B80" s="35" t="s">
        <v>326</v>
      </c>
      <c r="C80" s="24" t="n">
        <f aca="false">C79*$C$17</f>
        <v>1.26</v>
      </c>
      <c r="D80" s="24" t="n">
        <f aca="false">D79*$C$17</f>
        <v>1.2075</v>
      </c>
      <c r="E80" s="24" t="n">
        <f aca="false">E79*$C$17</f>
        <v>1.176</v>
      </c>
      <c r="F80" s="24" t="n">
        <f aca="false">F79*$C$17</f>
        <v>1.155</v>
      </c>
      <c r="G80" s="24" t="n">
        <f aca="false">G79*$C$17</f>
        <v>1.155</v>
      </c>
      <c r="H80" s="24" t="n">
        <f aca="false">H79*$C$17</f>
        <v>1.155</v>
      </c>
      <c r="I80" s="24" t="n">
        <f aca="false">I79*$C$17</f>
        <v>1.1781</v>
      </c>
      <c r="J80" s="24" t="n">
        <f aca="false">J79*$C$17</f>
        <v>1.201662</v>
      </c>
      <c r="K80" s="24" t="n">
        <f aca="false">K79*$C$17</f>
        <v>1.22569524</v>
      </c>
      <c r="L80" s="24" t="n">
        <f aca="false">L79*$C$17</f>
        <v>1.2502091448</v>
      </c>
      <c r="M80" s="24" t="n">
        <f aca="false">M79*$C$17</f>
        <v>1.275213327696</v>
      </c>
      <c r="N80" s="24" t="n">
        <f aca="false">N79*$C$17</f>
        <v>1.30071759424992</v>
      </c>
      <c r="O80" s="24" t="n">
        <f aca="false">O79*$C$17</f>
        <v>1.32673194613492</v>
      </c>
      <c r="P80" s="24" t="n">
        <f aca="false">P79*$C$17</f>
        <v>1.35326658505762</v>
      </c>
      <c r="Q80" s="24" t="n">
        <f aca="false">Q79*$C$17</f>
        <v>1.38033191675877</v>
      </c>
      <c r="R80" s="24" t="n">
        <f aca="false">R79*$C$17</f>
        <v>1.40793855509395</v>
      </c>
      <c r="S80" s="24" t="n">
        <f aca="false">S79*$C$17</f>
        <v>1.43609732619582</v>
      </c>
      <c r="T80" s="24" t="n">
        <f aca="false">T79*$C$17</f>
        <v>1.46481927271974</v>
      </c>
      <c r="U80" s="24" t="n">
        <f aca="false">U79*$C$17</f>
        <v>1.49411565817414</v>
      </c>
    </row>
    <row r="81" customFormat="false" ht="15" hidden="false" customHeight="false" outlineLevel="0" collapsed="false">
      <c r="A81" s="3" t="s">
        <v>369</v>
      </c>
      <c r="B81" s="35" t="s">
        <v>326</v>
      </c>
      <c r="C81" s="29" t="n">
        <f aca="false">C44+Drivers!$C$85*C64+C70+C74+C73*Drivers!$C$117+C75</f>
        <v>3.12548</v>
      </c>
      <c r="D81" s="29" t="n">
        <f aca="false">D44+Drivers!$C$85*D64+D70+D74+D73*Drivers!$C$117+D75</f>
        <v>4.20051</v>
      </c>
      <c r="E81" s="29" t="n">
        <f aca="false">E44+Drivers!$C$85*E64+E70+E74+E73*Drivers!$C$117+E75</f>
        <v>5.48119</v>
      </c>
      <c r="F81" s="29" t="n">
        <f aca="false">F44+Drivers!$C$85*F64+F70+F74+F73*Drivers!$C$117+F75</f>
        <v>6.76687</v>
      </c>
      <c r="G81" s="29" t="n">
        <f aca="false">G44+Drivers!$C$85*G64+G70+G74+G73*Drivers!$C$117+G75</f>
        <v>8.22348976</v>
      </c>
      <c r="H81" s="29" t="n">
        <f aca="false">H44+Drivers!$C$85*H64+H70+H74+H73*Drivers!$C$117+H75</f>
        <v>9.10505568</v>
      </c>
      <c r="I81" s="29" t="n">
        <f aca="false">I44+Drivers!$C$85*I64+I70+I74+I73*Drivers!$C$117+I75</f>
        <v>10.0269416</v>
      </c>
      <c r="J81" s="29" t="n">
        <f aca="false">J44+Drivers!$C$85*J64+J70+J74+J73*Drivers!$C$117+J75</f>
        <v>10.706724</v>
      </c>
      <c r="K81" s="29" t="n">
        <f aca="false">K44+Drivers!$C$85*K64+K70+K74+K73*Drivers!$C$117+K75</f>
        <v>11.5192646</v>
      </c>
      <c r="L81" s="29" t="n">
        <f aca="false">L44+Drivers!$C$85*L64+L70+L74+L73*Drivers!$C$117+L75</f>
        <v>12.3186746488</v>
      </c>
      <c r="M81" s="29" t="n">
        <f aca="false">M44+Drivers!$C$85*M64+M70+M74+M73*Drivers!$C$117+M75</f>
        <v>13.040295319424</v>
      </c>
      <c r="N81" s="29" t="n">
        <f aca="false">N44+Drivers!$C$85*N64+N70+N74+N73*Drivers!$C$117+N75</f>
        <v>13.5251153046355</v>
      </c>
      <c r="O81" s="29" t="n">
        <f aca="false">O44+Drivers!$C$85*O64+O70+O74+O73*Drivers!$C$117+O75</f>
        <v>13.2367279125428</v>
      </c>
      <c r="P81" s="29" t="n">
        <f aca="false">P44+Drivers!$C$85*P64+P70+P74+P73*Drivers!$C$117+P75</f>
        <v>13.373698222292</v>
      </c>
      <c r="Q81" s="29" t="n">
        <f aca="false">Q44+Drivers!$C$85*Q64+Q70+Q74+Q73*Drivers!$C$117+Q75</f>
        <v>13.3889408998461</v>
      </c>
      <c r="R81" s="29" t="n">
        <f aca="false">R44+Drivers!$C$85*R64+R70+R74+R73*Drivers!$C$117+R75</f>
        <v>13.2915926058492</v>
      </c>
      <c r="S81" s="29" t="n">
        <f aca="false">S44+Drivers!$C$85*S64+S70+S74+S73*Drivers!$C$117+S75</f>
        <v>12.6519519088122</v>
      </c>
      <c r="T81" s="29" t="n">
        <f aca="false">T44+Drivers!$C$85*T64+T70+T74+T73*Drivers!$C$117+T75</f>
        <v>12.4542757898636</v>
      </c>
      <c r="U81" s="29" t="n">
        <f aca="false">U44+Drivers!$C$85*U64+U70+U74+U73*Drivers!$C$117+U75</f>
        <v>12.2517992653171</v>
      </c>
    </row>
    <row r="82" customFormat="false" ht="15" hidden="false" customHeight="false" outlineLevel="0" collapsed="false">
      <c r="A82" s="9" t="s">
        <v>370</v>
      </c>
      <c r="B82" s="35" t="s">
        <v>326</v>
      </c>
      <c r="C82" s="24" t="n">
        <f aca="false">Drivers!$D$134</f>
        <v>0.3</v>
      </c>
      <c r="D82" s="24" t="n">
        <f aca="false">Drivers!$E$134</f>
        <v>0.25</v>
      </c>
      <c r="E82" s="24" t="n">
        <f aca="false">Drivers!$F$134</f>
        <v>0.25</v>
      </c>
      <c r="F82" s="24" t="n">
        <f aca="false">Drivers!$G$134</f>
        <v>0.25</v>
      </c>
      <c r="G82" s="24" t="n">
        <f aca="false">Drivers!$H$134</f>
        <v>0.25</v>
      </c>
      <c r="H82" s="24" t="n">
        <f aca="false">Drivers!$I$134</f>
        <v>0.25</v>
      </c>
      <c r="I82" s="24" t="n">
        <f aca="false">Drivers!$C$135*I81</f>
        <v>0.401077664</v>
      </c>
      <c r="J82" s="24" t="n">
        <f aca="false">Drivers!$C$135*J81</f>
        <v>0.42826896</v>
      </c>
      <c r="K82" s="24" t="n">
        <f aca="false">Drivers!$C$135*K81</f>
        <v>0.460770584</v>
      </c>
      <c r="L82" s="24" t="n">
        <f aca="false">Drivers!$C$135*L81</f>
        <v>0.492746985952</v>
      </c>
      <c r="M82" s="24" t="n">
        <f aca="false">Drivers!$C$135*M81</f>
        <v>0.52161181277696</v>
      </c>
      <c r="N82" s="24" t="n">
        <f aca="false">Drivers!$C$135*N81</f>
        <v>0.541004612185421</v>
      </c>
      <c r="O82" s="24" t="n">
        <f aca="false">Drivers!$C$135*O81</f>
        <v>0.529469116501712</v>
      </c>
      <c r="P82" s="24" t="n">
        <f aca="false">Drivers!$C$135*P81</f>
        <v>0.534947928891678</v>
      </c>
      <c r="Q82" s="24" t="n">
        <f aca="false">Drivers!$C$135*Q81</f>
        <v>0.535557635993845</v>
      </c>
      <c r="R82" s="24" t="n">
        <f aca="false">Drivers!$C$135*R81</f>
        <v>0.531663704233968</v>
      </c>
      <c r="S82" s="24" t="n">
        <f aca="false">Drivers!$C$135*S81</f>
        <v>0.506078076352488</v>
      </c>
      <c r="T82" s="24" t="n">
        <f aca="false">Drivers!$C$135*T81</f>
        <v>0.498171031594543</v>
      </c>
      <c r="U82" s="24" t="n">
        <f aca="false">Drivers!$C$135*U81</f>
        <v>0.490071970612683</v>
      </c>
    </row>
    <row r="83" customFormat="false" ht="15" hidden="false" customHeight="false" outlineLevel="0" collapsed="false">
      <c r="A83" s="9" t="s">
        <v>371</v>
      </c>
      <c r="B83" s="35" t="s">
        <v>326</v>
      </c>
      <c r="C83" s="24" t="n">
        <f aca="false">Drivers!$C$136</f>
        <v>0.23</v>
      </c>
      <c r="D83" s="24" t="n">
        <f aca="false">Drivers!$C$136</f>
        <v>0.23</v>
      </c>
      <c r="E83" s="24" t="n">
        <f aca="false">Drivers!$C$136</f>
        <v>0.23</v>
      </c>
      <c r="F83" s="24" t="n">
        <f aca="false">Drivers!$C$136</f>
        <v>0.23</v>
      </c>
      <c r="G83" s="24" t="n">
        <f aca="false">Drivers!$C$136</f>
        <v>0.23</v>
      </c>
      <c r="H83" s="24" t="n">
        <f aca="false">Drivers!$C$136</f>
        <v>0.23</v>
      </c>
      <c r="I83" s="24" t="n">
        <f aca="false">0.8*I82</f>
        <v>0.3208621312</v>
      </c>
      <c r="J83" s="24" t="n">
        <f aca="false">0.8*J82</f>
        <v>0.342615168</v>
      </c>
      <c r="K83" s="24" t="n">
        <f aca="false">0.8*K82</f>
        <v>0.3686164672</v>
      </c>
      <c r="L83" s="24" t="n">
        <f aca="false">0.8*L82</f>
        <v>0.3941975887616</v>
      </c>
      <c r="M83" s="24" t="n">
        <f aca="false">0.8*M82</f>
        <v>0.417289450221568</v>
      </c>
      <c r="N83" s="24" t="n">
        <f aca="false">0.8*N82</f>
        <v>0.432803689748337</v>
      </c>
      <c r="O83" s="24" t="n">
        <f aca="false">0.8*O82</f>
        <v>0.42357529320137</v>
      </c>
      <c r="P83" s="24" t="n">
        <f aca="false">0.8*P82</f>
        <v>0.427958343113342</v>
      </c>
      <c r="Q83" s="24" t="n">
        <f aca="false">0.8*Q82</f>
        <v>0.428446108795076</v>
      </c>
      <c r="R83" s="24" t="n">
        <f aca="false">0.8*R82</f>
        <v>0.425330963387174</v>
      </c>
      <c r="S83" s="24" t="n">
        <f aca="false">0.8*S82</f>
        <v>0.404862461081991</v>
      </c>
      <c r="T83" s="24" t="n">
        <f aca="false">0.8*T82</f>
        <v>0.398536825275634</v>
      </c>
      <c r="U83" s="24" t="n">
        <f aca="false">0.8*U82</f>
        <v>0.392057576490146</v>
      </c>
    </row>
    <row r="84" customFormat="false" ht="15" hidden="false" customHeight="false" outlineLevel="0" collapsed="false">
      <c r="A84" s="9" t="s">
        <v>372</v>
      </c>
      <c r="B84" s="35" t="s">
        <v>326</v>
      </c>
      <c r="C84" s="24" t="n">
        <f aca="false">Drivers!$C$82*(C81-Drivers!$C$35)</f>
        <v>0.108548</v>
      </c>
      <c r="D84" s="24" t="n">
        <f aca="false">Drivers!$C$82*(D81-C81)</f>
        <v>0.107503</v>
      </c>
      <c r="E84" s="24" t="n">
        <f aca="false">Drivers!$C$82*(E81-D81)</f>
        <v>0.128068</v>
      </c>
      <c r="F84" s="24" t="n">
        <f aca="false">Drivers!$C$82*(F81-E81)</f>
        <v>0.128568</v>
      </c>
      <c r="G84" s="24" t="n">
        <f aca="false">Drivers!$C$82*(G81-F81)</f>
        <v>0.145661976</v>
      </c>
      <c r="H84" s="24" t="n">
        <f aca="false">Drivers!$C$82*(H81-G81)</f>
        <v>0.088156592</v>
      </c>
      <c r="I84" s="24" t="n">
        <f aca="false">Drivers!$C$82*(I81-H81)</f>
        <v>0.0921885919999999</v>
      </c>
      <c r="J84" s="24" t="n">
        <f aca="false">Drivers!$C$82*(J81-I81)</f>
        <v>0.0679782400000001</v>
      </c>
      <c r="K84" s="24" t="n">
        <f aca="false">Drivers!$C$82*(K81-J81)</f>
        <v>0.0812540599999999</v>
      </c>
      <c r="L84" s="24" t="n">
        <f aca="false">Drivers!$C$82*(L81-K81)</f>
        <v>0.0799410048800001</v>
      </c>
      <c r="M84" s="24" t="n">
        <f aca="false">Drivers!$C$82*(M81-L81)</f>
        <v>0.0721620670623997</v>
      </c>
      <c r="N84" s="24" t="n">
        <f aca="false">Drivers!$C$82*(N81-M81)</f>
        <v>0.0484819985211521</v>
      </c>
      <c r="O84" s="24" t="n">
        <f aca="false">Drivers!$C$82*(O81-N81)</f>
        <v>-0.028838739209271</v>
      </c>
      <c r="P84" s="24" t="n">
        <f aca="false">Drivers!$C$82*(P81-O81)</f>
        <v>0.0136970309749144</v>
      </c>
      <c r="Q84" s="24" t="n">
        <f aca="false">Drivers!$C$82*(Q81-P81)</f>
        <v>0.0015242677554161</v>
      </c>
      <c r="R84" s="24" t="n">
        <f aca="false">Drivers!$C$82*(R81-Q81)</f>
        <v>-0.00973482939969213</v>
      </c>
      <c r="S84" s="24" t="n">
        <f aca="false">Drivers!$C$82*(S81-R81)</f>
        <v>-0.0639640697036983</v>
      </c>
      <c r="T84" s="24" t="n">
        <f aca="false">Drivers!$C$82*(T81-S81)</f>
        <v>-0.0197676118948644</v>
      </c>
      <c r="U84" s="24" t="n">
        <f aca="false">Drivers!$C$82*(U81-T81)</f>
        <v>-0.0202476524546499</v>
      </c>
    </row>
    <row r="85" customFormat="false" ht="15" hidden="false" customHeight="false" outlineLevel="0" collapsed="false">
      <c r="A85" s="3" t="s">
        <v>373</v>
      </c>
      <c r="B85" s="35" t="s">
        <v>326</v>
      </c>
      <c r="C85" s="29" t="n">
        <f aca="false">C52+C68+C72+C76-C78-C80</f>
        <v>-1.5182368</v>
      </c>
      <c r="D85" s="29" t="n">
        <f aca="false">D52+D68+D72+D76-D78-D80</f>
        <v>-0.843348033333333</v>
      </c>
      <c r="E85" s="29" t="n">
        <f aca="false">E52+E68+E72+E76-E78-E80</f>
        <v>-0.123149933333333</v>
      </c>
      <c r="F85" s="29" t="n">
        <f aca="false">F52+F68+F72+F76-F78-F80</f>
        <v>0.762188406666667</v>
      </c>
      <c r="G85" s="29" t="n">
        <f aca="false">G52+G68+G72+G76-G78-G80</f>
        <v>1.9076935776</v>
      </c>
      <c r="H85" s="29" t="n">
        <f aca="false">H52+H68+H72+H76-H78-H80</f>
        <v>2.920988686656</v>
      </c>
      <c r="I85" s="29" t="n">
        <f aca="false">I52+I68+I72+I76-I78-I80</f>
        <v>3.43382366390912</v>
      </c>
      <c r="J85" s="29" t="n">
        <f aca="false">J52+J68+J72+J76-J78-J80</f>
        <v>3.8096759795873</v>
      </c>
      <c r="K85" s="29" t="n">
        <f aca="false">K52+K68+K72+K76-K78-K80</f>
        <v>4.26436203477905</v>
      </c>
      <c r="L85" s="29" t="n">
        <f aca="false">L52+L68+L72+L76-L78-L80</f>
        <v>4.66704515712263</v>
      </c>
      <c r="M85" s="29" t="n">
        <f aca="false">M52+M68+M72+M76-M78-M80</f>
        <v>5.01542481127132</v>
      </c>
      <c r="N85" s="29" t="n">
        <f aca="false">N52+N68+N72+N76-N78-N80</f>
        <v>5.23410626928326</v>
      </c>
      <c r="O85" s="29" t="n">
        <f aca="false">O52+O68+O72+O76-O78-O80</f>
        <v>5.02664700593211</v>
      </c>
      <c r="P85" s="29" t="n">
        <f aca="false">P52+P68+P72+P76-P78-P80</f>
        <v>5.05223862693468</v>
      </c>
      <c r="Q85" s="29" t="n">
        <f aca="false">Q52+Q68+Q72+Q76-Q78-Q80</f>
        <v>5.00996466009161</v>
      </c>
      <c r="R85" s="29" t="n">
        <f aca="false">R52+R68+R72+R76-R78-R80</f>
        <v>4.90483037193733</v>
      </c>
      <c r="S85" s="29" t="n">
        <f aca="false">S52+S68+S72+S76-S78-S80</f>
        <v>4.50447971217707</v>
      </c>
      <c r="T85" s="29" t="n">
        <f aca="false">T52+T68+T72+T76-T78-T80</f>
        <v>4.34271338334089</v>
      </c>
      <c r="U85" s="29" t="n">
        <f aca="false">U52+U68+U72+U76-U78-U80</f>
        <v>4.17729522509083</v>
      </c>
    </row>
    <row r="86" customFormat="false" ht="15" hidden="false" customHeight="false" outlineLevel="0" collapsed="false">
      <c r="A86" s="9" t="s">
        <v>374</v>
      </c>
      <c r="B86" s="35" t="s">
        <v>326</v>
      </c>
      <c r="C86" s="24" t="n">
        <f aca="false">Drivers!$C$32</f>
        <v>12.5</v>
      </c>
      <c r="D86" s="24" t="n">
        <f aca="false">C89</f>
        <v>14.0182368</v>
      </c>
      <c r="E86" s="24" t="n">
        <f aca="false">D89</f>
        <v>14.8615848333333</v>
      </c>
      <c r="F86" s="24" t="n">
        <f aca="false">E89</f>
        <v>14.9847347666667</v>
      </c>
      <c r="G86" s="24" t="n">
        <f aca="false">F89</f>
        <v>14.3749840413333</v>
      </c>
      <c r="H86" s="24" t="n">
        <f aca="false">G89</f>
        <v>12.8488291792533</v>
      </c>
      <c r="I86" s="24" t="n">
        <f aca="false">H89</f>
        <v>10.5120382299285</v>
      </c>
      <c r="J86" s="24" t="n">
        <f aca="false">I89</f>
        <v>7.76497929880124</v>
      </c>
      <c r="K86" s="24" t="n">
        <f aca="false">J89</f>
        <v>4.71723851513139</v>
      </c>
      <c r="L86" s="24" t="n">
        <f aca="false">K89</f>
        <v>1.30574888730815</v>
      </c>
      <c r="M86" s="24" t="n">
        <f aca="false">L89</f>
        <v>0</v>
      </c>
      <c r="N86" s="24" t="n">
        <f aca="false">M89</f>
        <v>0</v>
      </c>
      <c r="O86" s="24" t="n">
        <f aca="false">N89</f>
        <v>0</v>
      </c>
      <c r="P86" s="24" t="n">
        <f aca="false">O89</f>
        <v>0</v>
      </c>
      <c r="Q86" s="24" t="n">
        <f aca="false">P89</f>
        <v>0</v>
      </c>
      <c r="R86" s="24" t="n">
        <f aca="false">Q89</f>
        <v>0</v>
      </c>
      <c r="S86" s="24" t="n">
        <f aca="false">R89</f>
        <v>0</v>
      </c>
      <c r="T86" s="24" t="n">
        <f aca="false">S89</f>
        <v>0</v>
      </c>
      <c r="U86" s="24" t="n">
        <f aca="false">T89</f>
        <v>0</v>
      </c>
    </row>
    <row r="87" customFormat="false" ht="15" hidden="false" customHeight="false" outlineLevel="0" collapsed="false">
      <c r="A87" s="9" t="s">
        <v>375</v>
      </c>
      <c r="B87" s="35" t="s">
        <v>326</v>
      </c>
      <c r="C87" s="24" t="n">
        <f aca="false">IF(C85&gt;0,MIN(C86,Drivers!$C$33*C85),0)</f>
        <v>0</v>
      </c>
      <c r="D87" s="24" t="n">
        <f aca="false">IF(D85&gt;0,MIN(D86,Drivers!$C$33*D85),0)</f>
        <v>0</v>
      </c>
      <c r="E87" s="24" t="n">
        <f aca="false">IF(E85&gt;0,MIN(E86,Drivers!$C$33*E85),0)</f>
        <v>0</v>
      </c>
      <c r="F87" s="24" t="n">
        <f aca="false">IF(F85&gt;0,MIN(F86,Drivers!$C$33*F85),0)</f>
        <v>0.609750725333334</v>
      </c>
      <c r="G87" s="24" t="n">
        <f aca="false">IF(G85&gt;0,MIN(G86,Drivers!$C$33*G85),0)</f>
        <v>1.52615486208</v>
      </c>
      <c r="H87" s="24" t="n">
        <f aca="false">IF(H85&gt;0,MIN(H86,Drivers!$C$33*H85),0)</f>
        <v>2.3367909493248</v>
      </c>
      <c r="I87" s="24" t="n">
        <f aca="false">IF(I85&gt;0,MIN(I86,Drivers!$C$33*I85),0)</f>
        <v>2.7470589311273</v>
      </c>
      <c r="J87" s="24" t="n">
        <f aca="false">IF(J85&gt;0,MIN(J86,Drivers!$C$33*J85),0)</f>
        <v>3.04774078366984</v>
      </c>
      <c r="K87" s="24" t="n">
        <f aca="false">IF(K85&gt;0,MIN(K86,Drivers!$C$33*K85),0)</f>
        <v>3.41148962782324</v>
      </c>
      <c r="L87" s="24" t="n">
        <f aca="false">IF(L85&gt;0,MIN(L86,Drivers!$C$33*L85),0)</f>
        <v>1.30574888730815</v>
      </c>
      <c r="M87" s="24" t="n">
        <f aca="false">IF(M85&gt;0,MIN(M86,Drivers!$C$33*M85),0)</f>
        <v>0</v>
      </c>
      <c r="N87" s="24" t="n">
        <f aca="false">IF(N85&gt;0,MIN(N86,Drivers!$C$33*N85),0)</f>
        <v>0</v>
      </c>
      <c r="O87" s="24" t="n">
        <f aca="false">IF(O85&gt;0,MIN(O86,Drivers!$C$33*O85),0)</f>
        <v>0</v>
      </c>
      <c r="P87" s="24" t="n">
        <f aca="false">IF(P85&gt;0,MIN(P86,Drivers!$C$33*P85),0)</f>
        <v>0</v>
      </c>
      <c r="Q87" s="24" t="n">
        <f aca="false">IF(Q85&gt;0,MIN(Q86,Drivers!$C$33*Q85),0)</f>
        <v>0</v>
      </c>
      <c r="R87" s="24" t="n">
        <f aca="false">IF(R85&gt;0,MIN(R86,Drivers!$C$33*R85),0)</f>
        <v>0</v>
      </c>
      <c r="S87" s="24" t="n">
        <f aca="false">IF(S85&gt;0,MIN(S86,Drivers!$C$33*S85),0)</f>
        <v>0</v>
      </c>
      <c r="T87" s="24" t="n">
        <f aca="false">IF(T85&gt;0,MIN(T86,Drivers!$C$33*T85),0)</f>
        <v>0</v>
      </c>
      <c r="U87" s="24" t="n">
        <f aca="false">IF(U85&gt;0,MIN(U86,Drivers!$C$33*U85),0)</f>
        <v>0</v>
      </c>
    </row>
    <row r="88" customFormat="false" ht="15" hidden="false" customHeight="false" outlineLevel="0" collapsed="false">
      <c r="A88" s="9" t="s">
        <v>376</v>
      </c>
      <c r="B88" s="35" t="s">
        <v>326</v>
      </c>
      <c r="C88" s="24" t="n">
        <f aca="false">IF(C85&gt;0,Drivers!$C$31*(C85-C87),0)</f>
        <v>0</v>
      </c>
      <c r="D88" s="24" t="n">
        <f aca="false">IF(D85&gt;0,Drivers!$C$31*(D85-D87),0)</f>
        <v>0</v>
      </c>
      <c r="E88" s="24" t="n">
        <f aca="false">IF(E85&gt;0,Drivers!$C$31*(E85-E87),0)</f>
        <v>0</v>
      </c>
      <c r="F88" s="24" t="n">
        <f aca="false">IF(F85&gt;0,Drivers!$C$31*(F85-F87),0)</f>
        <v>0.0289631594533333</v>
      </c>
      <c r="G88" s="24" t="n">
        <f aca="false">IF(G85&gt;0,Drivers!$C$31*(G85-G87),0)</f>
        <v>0.0724923559488</v>
      </c>
      <c r="H88" s="24" t="n">
        <f aca="false">IF(H85&gt;0,Drivers!$C$31*(H85-H87),0)</f>
        <v>0.110997570092928</v>
      </c>
      <c r="I88" s="24" t="n">
        <f aca="false">IF(I85&gt;0,Drivers!$C$31*(I85-I87),0)</f>
        <v>0.130485299228547</v>
      </c>
      <c r="J88" s="24" t="n">
        <f aca="false">IF(J85&gt;0,Drivers!$C$31*(J85-J87),0)</f>
        <v>0.144767687224318</v>
      </c>
      <c r="K88" s="24" t="n">
        <f aca="false">IF(K85&gt;0,Drivers!$C$31*(K85-K87),0)</f>
        <v>0.162045757321604</v>
      </c>
      <c r="L88" s="24" t="n">
        <f aca="false">IF(L85&gt;0,Drivers!$C$31*(L85-L87),0)</f>
        <v>0.638646291264751</v>
      </c>
      <c r="M88" s="24" t="n">
        <f aca="false">IF(M85&gt;0,Drivers!$C$31*(M85-M87),0)</f>
        <v>0.952930714141551</v>
      </c>
      <c r="N88" s="24" t="n">
        <f aca="false">IF(N85&gt;0,Drivers!$C$31*(N85-N87),0)</f>
        <v>0.99448019116382</v>
      </c>
      <c r="O88" s="24" t="n">
        <f aca="false">IF(O85&gt;0,Drivers!$C$31*(O85-O87),0)</f>
        <v>0.955062931127102</v>
      </c>
      <c r="P88" s="24" t="n">
        <f aca="false">IF(P85&gt;0,Drivers!$C$31*(P85-P87),0)</f>
        <v>0.959925339117589</v>
      </c>
      <c r="Q88" s="24" t="n">
        <f aca="false">IF(Q85&gt;0,Drivers!$C$31*(Q85-Q87),0)</f>
        <v>0.951893285417407</v>
      </c>
      <c r="R88" s="24" t="n">
        <f aca="false">IF(R85&gt;0,Drivers!$C$31*(R85-R87),0)</f>
        <v>0.931917770668092</v>
      </c>
      <c r="S88" s="24" t="n">
        <f aca="false">IF(S85&gt;0,Drivers!$C$31*(S85-S87),0)</f>
        <v>0.855851145313644</v>
      </c>
      <c r="T88" s="24" t="n">
        <f aca="false">IF(T85&gt;0,Drivers!$C$31*(T85-T87),0)</f>
        <v>0.82511554283477</v>
      </c>
      <c r="U88" s="24" t="n">
        <f aca="false">IF(U85&gt;0,Drivers!$C$31*(U85-U87),0)</f>
        <v>0.793686092767257</v>
      </c>
    </row>
    <row r="89" customFormat="false" ht="15" hidden="false" customHeight="false" outlineLevel="0" collapsed="false">
      <c r="A89" s="9" t="s">
        <v>377</v>
      </c>
      <c r="B89" s="35" t="s">
        <v>326</v>
      </c>
      <c r="C89" s="24" t="n">
        <f aca="false">C86-C87+IF(C85&lt;0,-C85,0)</f>
        <v>14.0182368</v>
      </c>
      <c r="D89" s="24" t="n">
        <f aca="false">D86-D87+IF(D85&lt;0,-D85,0)</f>
        <v>14.8615848333333</v>
      </c>
      <c r="E89" s="24" t="n">
        <f aca="false">E86-E87+IF(E85&lt;0,-E85,0)</f>
        <v>14.9847347666667</v>
      </c>
      <c r="F89" s="24" t="n">
        <f aca="false">F86-F87+IF(F85&lt;0,-F85,0)</f>
        <v>14.3749840413333</v>
      </c>
      <c r="G89" s="24" t="n">
        <f aca="false">G86-G87+IF(G85&lt;0,-G85,0)</f>
        <v>12.8488291792533</v>
      </c>
      <c r="H89" s="24" t="n">
        <f aca="false">H86-H87+IF(H85&lt;0,-H85,0)</f>
        <v>10.5120382299285</v>
      </c>
      <c r="I89" s="24" t="n">
        <f aca="false">I86-I87+IF(I85&lt;0,-I85,0)</f>
        <v>7.76497929880124</v>
      </c>
      <c r="J89" s="24" t="n">
        <f aca="false">J86-J87+IF(J85&lt;0,-J85,0)</f>
        <v>4.71723851513139</v>
      </c>
      <c r="K89" s="24" t="n">
        <f aca="false">K86-K87+IF(K85&lt;0,-K85,0)</f>
        <v>1.30574888730815</v>
      </c>
      <c r="L89" s="24" t="n">
        <f aca="false">L86-L87+IF(L85&lt;0,-L85,0)</f>
        <v>0</v>
      </c>
      <c r="M89" s="24" t="n">
        <f aca="false">M86-M87+IF(M85&lt;0,-M85,0)</f>
        <v>0</v>
      </c>
      <c r="N89" s="24" t="n">
        <f aca="false">N86-N87+IF(N85&lt;0,-N85,0)</f>
        <v>0</v>
      </c>
      <c r="O89" s="24" t="n">
        <f aca="false">O86-O87+IF(O85&lt;0,-O85,0)</f>
        <v>0</v>
      </c>
      <c r="P89" s="24" t="n">
        <f aca="false">P86-P87+IF(P85&lt;0,-P85,0)</f>
        <v>0</v>
      </c>
      <c r="Q89" s="24" t="n">
        <f aca="false">Q86-Q87+IF(Q85&lt;0,-Q85,0)</f>
        <v>0</v>
      </c>
      <c r="R89" s="24" t="n">
        <f aca="false">R86-R87+IF(R85&lt;0,-R85,0)</f>
        <v>0</v>
      </c>
      <c r="S89" s="24" t="n">
        <f aca="false">S86-S87+IF(S85&lt;0,-S85,0)</f>
        <v>0</v>
      </c>
      <c r="T89" s="24" t="n">
        <f aca="false">T86-T87+IF(T85&lt;0,-T85,0)</f>
        <v>0</v>
      </c>
      <c r="U89" s="24" t="n">
        <f aca="false">U86-U87+IF(U85&lt;0,-U85,0)</f>
        <v>0</v>
      </c>
    </row>
    <row r="90" customFormat="false" ht="15" hidden="false" customHeight="false" outlineLevel="0" collapsed="false">
      <c r="A90" s="3" t="s">
        <v>378</v>
      </c>
      <c r="B90" s="35" t="s">
        <v>326</v>
      </c>
      <c r="C90" s="29" t="n">
        <f aca="false">C85-C88-(C82-C83)-C84</f>
        <v>-1.6967848</v>
      </c>
      <c r="D90" s="29" t="n">
        <f aca="false">D85-D88-(D82-D83)-D84</f>
        <v>-0.970851033333333</v>
      </c>
      <c r="E90" s="29" t="n">
        <f aca="false">E85-E88-(E82-E83)-E84</f>
        <v>-0.271217933333333</v>
      </c>
      <c r="F90" s="29" t="n">
        <f aca="false">F85-F88-(F82-F83)-F84</f>
        <v>0.584657247213334</v>
      </c>
      <c r="G90" s="29" t="n">
        <f aca="false">G85-G88-(G82-G83)-G84</f>
        <v>1.6695392456512</v>
      </c>
      <c r="H90" s="29" t="n">
        <f aca="false">H85-H88-(H82-H83)-H84</f>
        <v>2.70183452456307</v>
      </c>
      <c r="I90" s="29" t="n">
        <f aca="false">I85-I88-(I82-I83)-I84</f>
        <v>3.13093423988057</v>
      </c>
      <c r="J90" s="29" t="n">
        <f aca="false">J85-J88-(J82-J83)-J84</f>
        <v>3.51127626036299</v>
      </c>
      <c r="K90" s="29" t="n">
        <f aca="false">K85-K88-(K82-K83)-K84</f>
        <v>3.92890810065745</v>
      </c>
      <c r="L90" s="29" t="n">
        <f aca="false">L85-L88-(L82-L83)-L84</f>
        <v>3.84990846378748</v>
      </c>
      <c r="M90" s="29" t="n">
        <f aca="false">M85-M88-(M82-M83)-M84</f>
        <v>3.88600966751198</v>
      </c>
      <c r="N90" s="29" t="n">
        <f aca="false">N85-N88-(N82-N83)-N84</f>
        <v>4.08294315716121</v>
      </c>
      <c r="O90" s="29" t="n">
        <f aca="false">O85-O88-(O82-O83)-O84</f>
        <v>3.99452899071394</v>
      </c>
      <c r="P90" s="29" t="n">
        <f aca="false">P85-P88-(P82-P83)-P84</f>
        <v>3.97162667106384</v>
      </c>
      <c r="Q90" s="29" t="n">
        <f aca="false">Q85-Q88-(Q82-Q83)-Q84</f>
        <v>3.94943557972002</v>
      </c>
      <c r="R90" s="29" t="n">
        <f aca="false">R85-R88-(R82-R83)-R84</f>
        <v>3.87631468982213</v>
      </c>
      <c r="S90" s="29" t="n">
        <f aca="false">S85-S88-(S82-S83)-S84</f>
        <v>3.61137702129663</v>
      </c>
      <c r="T90" s="29" t="n">
        <f aca="false">T85-T88-(T82-T83)-T84</f>
        <v>3.43773124608208</v>
      </c>
      <c r="U90" s="29" t="n">
        <f aca="false">U85-U88-(U82-U83)-U84</f>
        <v>3.30584239065568</v>
      </c>
    </row>
    <row r="91" customFormat="false" ht="15" hidden="false" customHeight="false" outlineLevel="0" collapsed="false">
      <c r="A91" s="9" t="s">
        <v>379</v>
      </c>
      <c r="B91" s="35" t="s">
        <v>380</v>
      </c>
      <c r="C91" s="33" t="n">
        <f aca="false">0.25+C$36+0.5</f>
        <v>0.75</v>
      </c>
      <c r="D91" s="33" t="n">
        <f aca="false">0.25+D$36+0.5</f>
        <v>1.75</v>
      </c>
      <c r="E91" s="33" t="n">
        <f aca="false">0.25+E$36+0.5</f>
        <v>2.75</v>
      </c>
      <c r="F91" s="33" t="n">
        <f aca="false">0.25+F$36+0.5</f>
        <v>3.75</v>
      </c>
      <c r="G91" s="33" t="n">
        <f aca="false">0.25+G$36+0.5</f>
        <v>4.75</v>
      </c>
      <c r="H91" s="33" t="n">
        <f aca="false">0.25+H$36+0.5</f>
        <v>5.75</v>
      </c>
      <c r="I91" s="33" t="n">
        <f aca="false">0.25+I$36+0.5</f>
        <v>6.75</v>
      </c>
      <c r="J91" s="33" t="n">
        <f aca="false">0.25+J$36+0.5</f>
        <v>7.75</v>
      </c>
      <c r="K91" s="33" t="n">
        <f aca="false">0.25+K$36+0.5</f>
        <v>8.75</v>
      </c>
      <c r="L91" s="33" t="n">
        <f aca="false">0.25+L$36+0.5</f>
        <v>9.75</v>
      </c>
      <c r="M91" s="33" t="n">
        <f aca="false">0.25+M$36+0.5</f>
        <v>10.75</v>
      </c>
      <c r="N91" s="33" t="n">
        <f aca="false">0.25+N$36+0.5</f>
        <v>11.75</v>
      </c>
      <c r="O91" s="33" t="n">
        <f aca="false">0.25+O$36+0.5</f>
        <v>12.75</v>
      </c>
      <c r="P91" s="33" t="n">
        <f aca="false">0.25+P$36+0.5</f>
        <v>13.75</v>
      </c>
      <c r="Q91" s="33" t="n">
        <f aca="false">0.25+Q$36+0.5</f>
        <v>14.75</v>
      </c>
      <c r="R91" s="33" t="n">
        <f aca="false">0.25+R$36+0.5</f>
        <v>15.75</v>
      </c>
      <c r="S91" s="33" t="n">
        <f aca="false">0.25+S$36+0.5</f>
        <v>16.75</v>
      </c>
      <c r="T91" s="33" t="n">
        <f aca="false">0.25+T$36+0.5</f>
        <v>17.75</v>
      </c>
      <c r="U91" s="33" t="n">
        <f aca="false">0.25+U$36+0.5</f>
        <v>18.75</v>
      </c>
    </row>
    <row r="92" customFormat="false" ht="15" hidden="false" customHeight="false" outlineLevel="0" collapsed="false">
      <c r="A92" s="9" t="s">
        <v>381</v>
      </c>
      <c r="B92" s="35" t="s">
        <v>382</v>
      </c>
      <c r="C92" s="36" t="n">
        <f aca="false">(1+$C$19)^(-C91)</f>
        <v>0.928292188409754</v>
      </c>
      <c r="D92" s="36" t="n">
        <f aca="false">(1+$C$19)^(-D91)</f>
        <v>0.840615945313551</v>
      </c>
      <c r="E92" s="36" t="n">
        <f aca="false">(1+$C$19)^(-E91)</f>
        <v>0.761220633264105</v>
      </c>
      <c r="F92" s="36" t="n">
        <f aca="false">(1+$C$19)^(-F91)</f>
        <v>0.689324126835194</v>
      </c>
      <c r="G92" s="36" t="n">
        <f aca="false">(1+$C$19)^(-G91)</f>
        <v>0.624218171543235</v>
      </c>
      <c r="H92" s="36" t="n">
        <f aca="false">(1+$C$19)^(-H91)</f>
        <v>0.565261406812673</v>
      </c>
      <c r="I92" s="36" t="n">
        <f aca="false">(1+$C$19)^(-I91)</f>
        <v>0.511873047915125</v>
      </c>
      <c r="J92" s="36" t="n">
        <f aca="false">(1+$C$19)^(-J91)</f>
        <v>0.463527164642873</v>
      </c>
      <c r="K92" s="36" t="n">
        <f aca="false">(1+$C$19)^(-K91)</f>
        <v>0.419747500355767</v>
      </c>
      <c r="L92" s="36" t="n">
        <f aca="false">(1+$C$19)^(-L91)</f>
        <v>0.38010278036382</v>
      </c>
      <c r="M92" s="36" t="n">
        <f aca="false">(1+$C$19)^(-M91)</f>
        <v>0.344202463428254</v>
      </c>
      <c r="N92" s="36" t="n">
        <f aca="false">(1+$C$19)^(-N91)</f>
        <v>0.31169289452889</v>
      </c>
      <c r="O92" s="36" t="n">
        <f aca="false">(1+$C$19)^(-O91)</f>
        <v>0.282253820998723</v>
      </c>
      <c r="P92" s="36" t="n">
        <f aca="false">(1+$C$19)^(-P91)</f>
        <v>0.255595237705989</v>
      </c>
      <c r="Q92" s="36" t="n">
        <f aca="false">(1+$C$19)^(-Q91)</f>
        <v>0.23145453020555</v>
      </c>
      <c r="R92" s="36" t="n">
        <f aca="false">(1+$C$19)^(-R91)</f>
        <v>0.209593887716698</v>
      </c>
      <c r="S92" s="36" t="n">
        <f aca="false">(1+$C$19)^(-S91)</f>
        <v>0.189797960442541</v>
      </c>
      <c r="T92" s="36" t="n">
        <f aca="false">(1+$C$19)^(-T91)</f>
        <v>0.171871738153166</v>
      </c>
      <c r="U92" s="36" t="n">
        <f aca="false">(1+$C$19)^(-U91)</f>
        <v>0.155638629134444</v>
      </c>
    </row>
    <row r="93" customFormat="false" ht="15" hidden="false" customHeight="false" outlineLevel="0" collapsed="false">
      <c r="A93" s="9" t="s">
        <v>383</v>
      </c>
      <c r="B93" s="35" t="s">
        <v>326</v>
      </c>
      <c r="C93" s="24" t="n">
        <f aca="false">C90*C92</f>
        <v>-1.57511207525241</v>
      </c>
      <c r="D93" s="24" t="n">
        <f aca="false">D90*D92</f>
        <v>-0.816112859144138</v>
      </c>
      <c r="E93" s="24" t="n">
        <f aca="false">E90*E92</f>
        <v>-0.206456686964582</v>
      </c>
      <c r="F93" s="24" t="n">
        <f aca="false">F90*F92</f>
        <v>0.403018346433199</v>
      </c>
      <c r="G93" s="24" t="n">
        <f aca="false">G90*G92</f>
        <v>1.04215673524006</v>
      </c>
      <c r="H93" s="24" t="n">
        <f aca="false">H90*H92</f>
        <v>1.52724278432957</v>
      </c>
      <c r="I93" s="24" t="n">
        <f aca="false">I90*I92</f>
        <v>1.6026408521895</v>
      </c>
      <c r="J93" s="24" t="n">
        <f aca="false">J90*J92</f>
        <v>1.62757192924389</v>
      </c>
      <c r="K93" s="24" t="n">
        <f aca="false">K90*K92</f>
        <v>1.64914935437849</v>
      </c>
      <c r="L93" s="24" t="n">
        <f aca="false">L90*L92</f>
        <v>1.46336091123183</v>
      </c>
      <c r="M93" s="24" t="n">
        <f aca="false">M90*M92</f>
        <v>1.33757410046363</v>
      </c>
      <c r="N93" s="24" t="n">
        <f aca="false">N90*N92</f>
        <v>1.2726243708525</v>
      </c>
      <c r="O93" s="24" t="n">
        <f aca="false">O90*O92</f>
        <v>1.12747107071918</v>
      </c>
      <c r="P93" s="24" t="n">
        <f aca="false">P90*P92</f>
        <v>1.01512886307001</v>
      </c>
      <c r="Q93" s="24" t="n">
        <f aca="false">Q90*Q92</f>
        <v>0.914114756681182</v>
      </c>
      <c r="R93" s="24" t="n">
        <f aca="false">R90*R92</f>
        <v>0.812451865853168</v>
      </c>
      <c r="S93" s="24" t="n">
        <f aca="false">S90*S92</f>
        <v>0.68543199303116</v>
      </c>
      <c r="T93" s="24" t="n">
        <f aca="false">T90*T92</f>
        <v>0.590848844567576</v>
      </c>
      <c r="U93" s="24" t="n">
        <f aca="false">U90*U92</f>
        <v>0.514516777816182</v>
      </c>
    </row>
    <row r="94" customFormat="false" ht="15" hidden="false" customHeight="false" outlineLevel="0" collapsed="false">
      <c r="A94" s="9" t="s">
        <v>384</v>
      </c>
      <c r="B94" s="35" t="s">
        <v>326</v>
      </c>
      <c r="C94" s="24" t="n">
        <f aca="false">IF(C$35&lt;=2032,Drivers!$C$133*C80,C80)</f>
        <v>0.441</v>
      </c>
      <c r="D94" s="24" t="n">
        <f aca="false">IF(D$35&lt;=2032,Drivers!$C$133*D80,D80)</f>
        <v>0.422625</v>
      </c>
      <c r="E94" s="24" t="n">
        <f aca="false">IF(E$35&lt;=2032,Drivers!$C$133*E80,E80)</f>
        <v>0.4116</v>
      </c>
      <c r="F94" s="24" t="n">
        <f aca="false">IF(F$35&lt;=2032,Drivers!$C$133*F80,F80)</f>
        <v>0.40425</v>
      </c>
      <c r="G94" s="24" t="n">
        <f aca="false">IF(G$35&lt;=2032,Drivers!$C$133*G80,G80)</f>
        <v>0.40425</v>
      </c>
      <c r="H94" s="24" t="n">
        <f aca="false">IF(H$35&lt;=2032,Drivers!$C$133*H80,H80)</f>
        <v>0.40425</v>
      </c>
      <c r="I94" s="24" t="n">
        <f aca="false">IF(I$35&lt;=2032,Drivers!$C$133*I80,I80)</f>
        <v>1.1781</v>
      </c>
      <c r="J94" s="24" t="n">
        <f aca="false">IF(J$35&lt;=2032,Drivers!$C$133*J80,J80)</f>
        <v>1.201662</v>
      </c>
      <c r="K94" s="24" t="n">
        <f aca="false">IF(K$35&lt;=2032,Drivers!$C$133*K80,K80)</f>
        <v>1.22569524</v>
      </c>
      <c r="L94" s="24" t="n">
        <f aca="false">IF(L$35&lt;=2032,Drivers!$C$133*L80,L80)</f>
        <v>1.2502091448</v>
      </c>
      <c r="M94" s="24" t="n">
        <f aca="false">IF(M$35&lt;=2032,Drivers!$C$133*M80,M80)</f>
        <v>1.275213327696</v>
      </c>
      <c r="N94" s="24" t="n">
        <f aca="false">IF(N$35&lt;=2032,Drivers!$C$133*N80,N80)</f>
        <v>1.30071759424992</v>
      </c>
      <c r="O94" s="24" t="n">
        <f aca="false">IF(O$35&lt;=2032,Drivers!$C$133*O80,O80)</f>
        <v>1.32673194613492</v>
      </c>
      <c r="P94" s="24" t="n">
        <f aca="false">IF(P$35&lt;=2032,Drivers!$C$133*P80,P80)</f>
        <v>1.35326658505762</v>
      </c>
      <c r="Q94" s="24" t="n">
        <f aca="false">IF(Q$35&lt;=2032,Drivers!$C$133*Q80,Q80)</f>
        <v>1.38033191675877</v>
      </c>
      <c r="R94" s="24" t="n">
        <f aca="false">IF(R$35&lt;=2032,Drivers!$C$133*R80,R80)</f>
        <v>1.40793855509395</v>
      </c>
      <c r="S94" s="24" t="n">
        <f aca="false">IF(S$35&lt;=2032,Drivers!$C$133*S80,S80)</f>
        <v>1.43609732619582</v>
      </c>
      <c r="T94" s="24" t="n">
        <f aca="false">IF(T$35&lt;=2032,Drivers!$C$133*T80,T80)</f>
        <v>1.46481927271974</v>
      </c>
      <c r="U94" s="24" t="n">
        <f aca="false">IF(U$35&lt;=2032,Drivers!$C$133*U80,U80)</f>
        <v>1.49411565817414</v>
      </c>
    </row>
    <row r="96" customFormat="false" ht="15" hidden="false" customHeight="false" outlineLevel="0" collapsed="false">
      <c r="A96" s="3" t="s">
        <v>385</v>
      </c>
    </row>
    <row r="97" customFormat="false" ht="15" hidden="false" customHeight="false" outlineLevel="0" collapsed="false">
      <c r="A97" s="9" t="s">
        <v>386</v>
      </c>
      <c r="C97" s="24" t="n">
        <f aca="false">Drivers!$C$34*(1+$C$19)^(-0.125)</f>
        <v>-0.454330557454128</v>
      </c>
    </row>
    <row r="98" customFormat="false" ht="15" hidden="false" customHeight="false" outlineLevel="0" collapsed="false">
      <c r="A98" s="9" t="s">
        <v>387</v>
      </c>
      <c r="C98" s="24" t="n">
        <f aca="false">SUM(C93:U93)</f>
        <v>14.98762193474</v>
      </c>
    </row>
    <row r="99" customFormat="false" ht="15" hidden="false" customHeight="false" outlineLevel="0" collapsed="false">
      <c r="A99" s="9" t="s">
        <v>388</v>
      </c>
      <c r="C99" s="24" t="n">
        <f aca="false">U90*(1+$C$20)/($C$19-$C$20)</f>
        <v>35.4072196666197</v>
      </c>
    </row>
    <row r="100" customFormat="false" ht="15" hidden="false" customHeight="false" outlineLevel="0" collapsed="false">
      <c r="A100" s="9" t="s">
        <v>389</v>
      </c>
      <c r="C100" s="24" t="n">
        <f aca="false">$C$99*(1+$C$19)^(-19.25)</f>
        <v>5.24403626219255</v>
      </c>
    </row>
    <row r="101" customFormat="false" ht="15" hidden="false" customHeight="false" outlineLevel="0" collapsed="false">
      <c r="A101" s="9" t="s">
        <v>390</v>
      </c>
      <c r="C101" s="24" t="n">
        <f aca="false">SUMPRODUCT(C94:U94,C92:U92)+U94*(1+$C$20)/($C$19-$C$20)*(1+$C$19)^(-19.25)</f>
        <v>9.29347456144581</v>
      </c>
    </row>
    <row r="102" customFormat="false" ht="15" hidden="false" customHeight="false" outlineLevel="0" collapsed="false">
      <c r="A102" s="9" t="s">
        <v>304</v>
      </c>
      <c r="C102" s="24" t="n">
        <f aca="false">$C$18*$C$101*(1-Drivers!$C$31)</f>
        <v>7.52771439477111</v>
      </c>
    </row>
    <row r="103" customFormat="false" ht="15" hidden="false" customHeight="false" outlineLevel="0" collapsed="false">
      <c r="A103" s="3" t="s">
        <v>391</v>
      </c>
      <c r="C103" s="29" t="n">
        <f aca="false">$C$97+$C$98+$C$100+$C$102</f>
        <v>27.3050420342495</v>
      </c>
    </row>
    <row r="104" customFormat="false" ht="15" hidden="false" customHeight="false" outlineLevel="0" collapsed="false">
      <c r="A104" s="9" t="s">
        <v>392</v>
      </c>
      <c r="C104" s="11" t="n">
        <f aca="false">IF($C$103&gt;0,$C$100/$C$103,0)</f>
        <v>0.192053769981925</v>
      </c>
    </row>
    <row r="105" customFormat="false" ht="15" hidden="false" customHeight="false" outlineLevel="0" collapsed="false">
      <c r="A105" s="9" t="s">
        <v>393</v>
      </c>
      <c r="C105" s="24" t="n">
        <f aca="false">Drivers!$C$13*(Drivers!$C$14+Drivers!$C$15*Drivers!$C$16)*(1+$C$19)^(-Drivers!$C$17)</f>
        <v>0.765190618491352</v>
      </c>
    </row>
    <row r="106" customFormat="false" ht="15" hidden="false" customHeight="false" outlineLevel="0" collapsed="false">
      <c r="A106" s="9" t="s">
        <v>394</v>
      </c>
      <c r="C106" s="24" t="n">
        <f aca="false">Drivers!$C$7+Drivers!$C$8+Drivers!$C$12+$C$105+$C$21-Drivers!$C$18</f>
        <v>4.65219061849135</v>
      </c>
    </row>
    <row r="107" customFormat="false" ht="15" hidden="false" customHeight="false" outlineLevel="0" collapsed="false">
      <c r="A107" s="3" t="s">
        <v>395</v>
      </c>
      <c r="C107" s="29" t="n">
        <f aca="false">$C$103+Drivers!$C$6-$C$106</f>
        <v>30.6928514157582</v>
      </c>
    </row>
    <row r="108" customFormat="false" ht="15" hidden="false" customHeight="false" outlineLevel="0" collapsed="false">
      <c r="A108" s="9" t="s">
        <v>396</v>
      </c>
      <c r="C108" s="13" t="n">
        <f aca="false">IF(($C$107)*1000/(Drivers!$C$19+Drivers!$C$22)&lt;=Drivers!$C$21,($C$107)*1000/(Drivers!$C$19+Drivers!$C$22),IF((($C$107)*1000+Drivers!$C$20*Drivers!$C$21)/(Drivers!$C$19+Drivers!$C$22+Drivers!$C$20)&lt;=Drivers!$C$10,(($C$107)*1000+Drivers!$C$20*Drivers!$C$21)/(Drivers!$C$19+Drivers!$C$22+Drivers!$C$20),(($C$107)*1000+Drivers!$C$20*Drivers!$C$21+Drivers!$C$11*Drivers!$C$10)/(Drivers!$C$19+Drivers!$C$22+Drivers!$C$20+Drivers!$C$11)))</f>
        <v>72.1795862582329</v>
      </c>
    </row>
    <row r="109" customFormat="false" ht="15" hidden="false" customHeight="false" outlineLevel="0" collapsed="false">
      <c r="A109" s="3" t="s">
        <v>397</v>
      </c>
      <c r="C109" s="30" t="n">
        <f aca="false">MAX($C$108,Drivers!$C$141)</f>
        <v>72.1795862582329</v>
      </c>
    </row>
    <row r="110" customFormat="false" ht="15" hidden="false" customHeight="false" outlineLevel="0" collapsed="false">
      <c r="A110" s="9" t="s">
        <v>398</v>
      </c>
      <c r="C110" s="33" t="n">
        <f aca="false">($C$107)*1000/$C$108</f>
        <v>425.228974102873</v>
      </c>
    </row>
    <row r="111" customFormat="false" ht="15" hidden="false" customHeight="false" outlineLevel="0" collapsed="false">
      <c r="A111" s="9" t="s">
        <v>399</v>
      </c>
      <c r="C111" s="11" t="n">
        <f aca="false">$C$109/Drivers!$C$5-1</f>
        <v>-0.637288511265162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5" topLeftCell="C36" activePane="bottomRight" state="frozen"/>
      <selection pane="topLeft" activeCell="A1" activeCellId="0" sqref="A1"/>
      <selection pane="topRight" activeCell="C1" activeCellId="0" sqref="C1"/>
      <selection pane="bottomLeft" activeCell="A36" activeCellId="0" sqref="A3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6"/>
    <col collapsed="false" customWidth="true" hidden="false" outlineLevel="0" max="21" min="3" style="0" width="9"/>
  </cols>
  <sheetData>
    <row r="1" customFormat="false" ht="17.35" hidden="false" customHeight="false" outlineLevel="0" collapsed="false">
      <c r="A1" s="1" t="s">
        <v>403</v>
      </c>
    </row>
    <row r="2" customFormat="false" ht="15" hidden="false" customHeight="false" outlineLevel="0" collapsed="false">
      <c r="A2" s="3" t="s">
        <v>317</v>
      </c>
      <c r="C2" s="28" t="n">
        <v>5</v>
      </c>
    </row>
    <row r="4" customFormat="false" ht="15" hidden="false" customHeight="false" outlineLevel="0" collapsed="false">
      <c r="A4" s="3" t="s">
        <v>318</v>
      </c>
    </row>
    <row r="5" customFormat="false" ht="15" hidden="false" customHeight="false" outlineLevel="0" collapsed="false">
      <c r="A5" s="9" t="s">
        <v>149</v>
      </c>
      <c r="C5" s="22" t="n">
        <f aca="false">INDEX(Drivers!$D$39:$H$39,$C$2)</f>
        <v>1.1</v>
      </c>
    </row>
    <row r="6" customFormat="false" ht="15" hidden="false" customHeight="false" outlineLevel="0" collapsed="false">
      <c r="A6" s="9" t="s">
        <v>150</v>
      </c>
      <c r="C6" s="22" t="n">
        <f aca="false">INDEX(Drivers!$D$40:$H$40,$C$2)</f>
        <v>1.6</v>
      </c>
    </row>
    <row r="7" customFormat="false" ht="15" hidden="false" customHeight="false" outlineLevel="0" collapsed="false">
      <c r="A7" s="9" t="s">
        <v>151</v>
      </c>
      <c r="C7" s="22" t="n">
        <f aca="false">INDEX(Drivers!$D$41:$H$41,$C$2)</f>
        <v>1.6</v>
      </c>
    </row>
    <row r="8" customFormat="false" ht="15" hidden="false" customHeight="false" outlineLevel="0" collapsed="false">
      <c r="A8" s="9" t="s">
        <v>152</v>
      </c>
      <c r="C8" s="6" t="n">
        <f aca="false">INDEX(Drivers!$D$42:$H$42,$C$2)</f>
        <v>1</v>
      </c>
    </row>
    <row r="9" customFormat="false" ht="15" hidden="false" customHeight="false" outlineLevel="0" collapsed="false">
      <c r="A9" s="9" t="s">
        <v>153</v>
      </c>
      <c r="C9" s="6" t="n">
        <f aca="false">INDEX(Drivers!$D$43:$H$43,$C$2)</f>
        <v>0.03</v>
      </c>
    </row>
    <row r="10" customFormat="false" ht="15" hidden="false" customHeight="false" outlineLevel="0" collapsed="false">
      <c r="A10" s="9" t="s">
        <v>154</v>
      </c>
      <c r="C10" s="6" t="n">
        <f aca="false">INDEX(Drivers!$D$44:$H$44,$C$2)</f>
        <v>1</v>
      </c>
    </row>
    <row r="11" customFormat="false" ht="15" hidden="false" customHeight="false" outlineLevel="0" collapsed="false">
      <c r="A11" s="9" t="s">
        <v>155</v>
      </c>
      <c r="C11" s="22" t="n">
        <f aca="false">INDEX(Drivers!$D$45:$H$45,$C$2)</f>
        <v>6</v>
      </c>
    </row>
    <row r="12" customFormat="false" ht="15" hidden="false" customHeight="false" outlineLevel="0" collapsed="false">
      <c r="A12" s="9" t="s">
        <v>156</v>
      </c>
      <c r="C12" s="31" t="n">
        <f aca="false">INDEX(Drivers!$D$46:$H$46,$C$2)</f>
        <v>2027</v>
      </c>
    </row>
    <row r="13" customFormat="false" ht="15" hidden="false" customHeight="false" outlineLevel="0" collapsed="false">
      <c r="A13" s="9" t="s">
        <v>157</v>
      </c>
      <c r="C13" s="22" t="n">
        <f aca="false">INDEX(Drivers!$D$47:$H$47,$C$2)</f>
        <v>10</v>
      </c>
    </row>
    <row r="14" customFormat="false" ht="15" hidden="false" customHeight="false" outlineLevel="0" collapsed="false">
      <c r="A14" s="9" t="s">
        <v>158</v>
      </c>
      <c r="C14" s="22" t="n">
        <f aca="false">INDEX(Drivers!$D$48:$H$48,$C$2)</f>
        <v>1.5</v>
      </c>
    </row>
    <row r="15" customFormat="false" ht="15" hidden="false" customHeight="false" outlineLevel="0" collapsed="false">
      <c r="A15" s="9" t="s">
        <v>159</v>
      </c>
      <c r="C15" s="22" t="n">
        <f aca="false">INDEX(Drivers!$D$49:$H$49,$C$2)</f>
        <v>1.58</v>
      </c>
    </row>
    <row r="16" customFormat="false" ht="15" hidden="false" customHeight="false" outlineLevel="0" collapsed="false">
      <c r="A16" s="9" t="s">
        <v>160</v>
      </c>
      <c r="C16" s="6" t="n">
        <f aca="false">INDEX(Drivers!$D$50:$H$50,$C$2)</f>
        <v>0.62</v>
      </c>
    </row>
    <row r="17" customFormat="false" ht="15" hidden="false" customHeight="false" outlineLevel="0" collapsed="false">
      <c r="A17" s="9" t="s">
        <v>161</v>
      </c>
      <c r="C17" s="22" t="n">
        <f aca="false">INDEX(Drivers!$D$51:$H$51,$C$2)</f>
        <v>1</v>
      </c>
    </row>
    <row r="18" customFormat="false" ht="15" hidden="false" customHeight="false" outlineLevel="0" collapsed="false">
      <c r="A18" s="9" t="s">
        <v>162</v>
      </c>
      <c r="C18" s="22" t="n">
        <f aca="false">INDEX(Drivers!$D$52:$H$52,$C$2)</f>
        <v>1</v>
      </c>
    </row>
    <row r="19" customFormat="false" ht="15" hidden="false" customHeight="false" outlineLevel="0" collapsed="false">
      <c r="A19" s="9" t="s">
        <v>163</v>
      </c>
      <c r="C19" s="6" t="n">
        <f aca="false">INDEX(Drivers!$D$53:$H$53,$C$2)</f>
        <v>0.08</v>
      </c>
    </row>
    <row r="20" customFormat="false" ht="15" hidden="false" customHeight="false" outlineLevel="0" collapsed="false">
      <c r="A20" s="9" t="s">
        <v>164</v>
      </c>
      <c r="C20" s="6" t="n">
        <f aca="false">INDEX(Drivers!$D$54:$H$54,$C$2)</f>
        <v>0.02</v>
      </c>
    </row>
    <row r="21" customFormat="false" ht="15" hidden="false" customHeight="false" outlineLevel="0" collapsed="false">
      <c r="A21" s="9" t="s">
        <v>165</v>
      </c>
      <c r="C21" s="22" t="n">
        <f aca="false">INDEX(Drivers!$D$55:$H$55,$C$2)</f>
        <v>0.3</v>
      </c>
    </row>
    <row r="22" customFormat="false" ht="15" hidden="false" customHeight="false" outlineLevel="0" collapsed="false">
      <c r="A22" s="3" t="s">
        <v>319</v>
      </c>
    </row>
    <row r="23" customFormat="false" ht="15" hidden="false" customHeight="false" outlineLevel="0" collapsed="false">
      <c r="A23" s="8" t="s">
        <v>215</v>
      </c>
      <c r="B23" s="8"/>
      <c r="C23" s="8" t="s">
        <v>217</v>
      </c>
      <c r="D23" s="8" t="s">
        <v>320</v>
      </c>
      <c r="E23" s="8" t="s">
        <v>219</v>
      </c>
    </row>
    <row r="24" customFormat="false" ht="15" hidden="false" customHeight="false" outlineLevel="0" collapsed="false">
      <c r="A24" s="5" t="str">
        <f aca="false">Drivers!$B$95</f>
        <v>Adjuvant melanoma IIB-IV (INTerpath-001)</v>
      </c>
      <c r="C24" s="32" t="n">
        <f aca="false">$C$12</f>
        <v>2027</v>
      </c>
      <c r="D24" s="33" t="n">
        <f aca="false">$C$11</f>
        <v>6</v>
      </c>
      <c r="E24" s="11" t="n">
        <f aca="false">$C$10</f>
        <v>1</v>
      </c>
    </row>
    <row r="25" customFormat="false" ht="15" hidden="false" customHeight="false" outlineLevel="0" collapsed="false">
      <c r="A25" s="5" t="str">
        <f aca="false">Drivers!$B$96</f>
        <v>Adjuvant NSCLC II-IIIB (INTerpath-002)</v>
      </c>
      <c r="C25" s="31" t="n">
        <f aca="false">Drivers!$D$96</f>
        <v>2031</v>
      </c>
      <c r="D25" s="33" t="n">
        <f aca="false">Drivers!$E$96*$C$14</f>
        <v>6</v>
      </c>
      <c r="E25" s="11" t="n">
        <f aca="false">MIN(Drivers!$F$96*$C$13,IF($C$13&gt;=10,1,0.95))</f>
        <v>1</v>
      </c>
    </row>
    <row r="26" customFormat="false" ht="15" hidden="false" customHeight="false" outlineLevel="0" collapsed="false">
      <c r="A26" s="5" t="str">
        <f aca="false">Drivers!$B$97</f>
        <v>Post-neoadjuvant non-pCR NSCLC (INTerpath-009)</v>
      </c>
      <c r="C26" s="31" t="n">
        <f aca="false">Drivers!$D$97</f>
        <v>2034</v>
      </c>
      <c r="D26" s="33" t="n">
        <f aca="false">Drivers!$E$97*$C$14</f>
        <v>2.25</v>
      </c>
      <c r="E26" s="11" t="n">
        <f aca="false">MIN(Drivers!$F$97*$C$13,IF($C$13&gt;=10,1,0.95))</f>
        <v>1</v>
      </c>
    </row>
    <row r="27" customFormat="false" ht="15" hidden="false" customHeight="false" outlineLevel="0" collapsed="false">
      <c r="A27" s="5" t="str">
        <f aca="false">Drivers!$B$98</f>
        <v>Resected stage I NSCLC (INTerpath-014)</v>
      </c>
      <c r="C27" s="31" t="n">
        <f aca="false">Drivers!$D$98</f>
        <v>2035</v>
      </c>
      <c r="D27" s="33" t="n">
        <f aca="false">Drivers!$E$98*$C$14</f>
        <v>3.75</v>
      </c>
      <c r="E27" s="11" t="n">
        <f aca="false">MIN(Drivers!$F$98*$C$13,IF($C$13&gt;=10,1,0.95))</f>
        <v>1</v>
      </c>
    </row>
    <row r="28" customFormat="false" ht="15" hidden="false" customHeight="false" outlineLevel="0" collapsed="false">
      <c r="A28" s="5" t="str">
        <f aca="false">Drivers!$B$99</f>
        <v>Adjuvant RCC (INTerpath-004)</v>
      </c>
      <c r="C28" s="31" t="n">
        <f aca="false">Drivers!$D$99</f>
        <v>2031</v>
      </c>
      <c r="D28" s="33" t="n">
        <f aca="false">Drivers!$E$99*$C$14</f>
        <v>1.8</v>
      </c>
      <c r="E28" s="11" t="n">
        <f aca="false">MIN(Drivers!$F$99*$C$13,IF($C$13&gt;=10,1,0.95))</f>
        <v>1</v>
      </c>
    </row>
    <row r="29" customFormat="false" ht="15" hidden="false" customHeight="false" outlineLevel="0" collapsed="false">
      <c r="A29" s="5" t="str">
        <f aca="false">Drivers!$B$100</f>
        <v>MIBC adjuvant (INTerpath-005)</v>
      </c>
      <c r="C29" s="31" t="n">
        <f aca="false">Drivers!$D$100</f>
        <v>2033</v>
      </c>
      <c r="D29" s="33" t="n">
        <f aca="false">Drivers!$E$100*$C$14</f>
        <v>1.5</v>
      </c>
      <c r="E29" s="11" t="n">
        <f aca="false">MIN(Drivers!$F$100*$C$13,IF($C$13&gt;=10,1,0.95))</f>
        <v>1</v>
      </c>
    </row>
    <row r="30" customFormat="false" ht="15" hidden="false" customHeight="false" outlineLevel="0" collapsed="false">
      <c r="A30" s="5" t="str">
        <f aca="false">Drivers!$B$101</f>
        <v>NMIBC + BCG (INTerpath-011)</v>
      </c>
      <c r="C30" s="31" t="n">
        <f aca="false">Drivers!$D$101</f>
        <v>2034</v>
      </c>
      <c r="D30" s="33" t="n">
        <f aca="false">Drivers!$E$101*$C$14</f>
        <v>1.5</v>
      </c>
      <c r="E30" s="11" t="n">
        <f aca="false">MIN(Drivers!$F$101*$C$13,IF($C$13&gt;=10,1,0.95))</f>
        <v>1</v>
      </c>
    </row>
    <row r="31" customFormat="false" ht="15" hidden="false" customHeight="false" outlineLevel="0" collapsed="false">
      <c r="A31" s="5" t="str">
        <f aca="false">Drivers!$B$102</f>
        <v>1L advanced melanoma (INTerpath-012)</v>
      </c>
      <c r="C31" s="31" t="n">
        <f aca="false">Drivers!$D$102</f>
        <v>2031</v>
      </c>
      <c r="D31" s="33" t="n">
        <f aca="false">Drivers!$E$102*$C$14</f>
        <v>1.2</v>
      </c>
      <c r="E31" s="11" t="n">
        <f aca="false">MIN(Drivers!$F$102*$C$13,IF($C$13&gt;=10,1,0.95))</f>
        <v>1</v>
      </c>
    </row>
    <row r="32" customFormat="false" ht="15" hidden="false" customHeight="false" outlineLevel="0" collapsed="false">
      <c r="A32" s="5" t="str">
        <f aca="false">Drivers!$B$103</f>
        <v>1L metastatic squamous NSCLC (INTerpath-013)</v>
      </c>
      <c r="C32" s="31" t="n">
        <f aca="false">Drivers!$D$103</f>
        <v>2032</v>
      </c>
      <c r="D32" s="33" t="n">
        <f aca="false">Drivers!$E$103*$C$14</f>
        <v>1.8</v>
      </c>
      <c r="E32" s="11" t="n">
        <f aca="false">MIN(Drivers!$F$103*$C$13,IF($C$13&gt;=10,1,0.95))</f>
        <v>1</v>
      </c>
    </row>
    <row r="33" customFormat="false" ht="15" hidden="false" customHeight="false" outlineLevel="0" collapsed="false">
      <c r="A33" s="5" t="str">
        <f aca="false">Drivers!$B$104</f>
        <v>Other solid tumours - future INT indications (pre-Ph2)</v>
      </c>
      <c r="C33" s="31" t="n">
        <f aca="false">Drivers!$D$104</f>
        <v>2035</v>
      </c>
      <c r="D33" s="33" t="n">
        <f aca="false">Drivers!$E$104*$C$14</f>
        <v>9</v>
      </c>
      <c r="E33" s="11" t="n">
        <f aca="false">MIN(Drivers!$F$104*$C$13,IF($C$13&gt;=10,1,0.95))</f>
        <v>1</v>
      </c>
    </row>
    <row r="35" customFormat="false" ht="15" hidden="false" customHeight="false" outlineLevel="0" collapsed="false">
      <c r="A35" s="3" t="s">
        <v>321</v>
      </c>
      <c r="B35" s="3" t="s">
        <v>322</v>
      </c>
      <c r="C35" s="34" t="n">
        <v>2027</v>
      </c>
      <c r="D35" s="34" t="n">
        <v>2028</v>
      </c>
      <c r="E35" s="34" t="n">
        <v>2029</v>
      </c>
      <c r="F35" s="34" t="n">
        <v>2030</v>
      </c>
      <c r="G35" s="34" t="n">
        <v>2031</v>
      </c>
      <c r="H35" s="34" t="n">
        <v>2032</v>
      </c>
      <c r="I35" s="34" t="n">
        <v>2033</v>
      </c>
      <c r="J35" s="34" t="n">
        <v>2034</v>
      </c>
      <c r="K35" s="34" t="n">
        <v>2035</v>
      </c>
      <c r="L35" s="34" t="n">
        <v>2036</v>
      </c>
      <c r="M35" s="34" t="n">
        <v>2037</v>
      </c>
      <c r="N35" s="34" t="n">
        <v>2038</v>
      </c>
      <c r="O35" s="34" t="n">
        <v>2039</v>
      </c>
      <c r="P35" s="34" t="n">
        <v>2040</v>
      </c>
      <c r="Q35" s="34" t="n">
        <v>2041</v>
      </c>
      <c r="R35" s="34" t="n">
        <v>2042</v>
      </c>
      <c r="S35" s="34" t="n">
        <v>2043</v>
      </c>
      <c r="T35" s="34" t="n">
        <v>2044</v>
      </c>
      <c r="U35" s="34" t="n">
        <v>2045</v>
      </c>
    </row>
    <row r="36" customFormat="false" ht="15" hidden="false" customHeight="false" outlineLevel="0" collapsed="false">
      <c r="A36" s="9" t="s">
        <v>323</v>
      </c>
      <c r="C36" s="32" t="n">
        <v>0</v>
      </c>
      <c r="D36" s="32" t="n">
        <v>1</v>
      </c>
      <c r="E36" s="32" t="n">
        <v>2</v>
      </c>
      <c r="F36" s="32" t="n">
        <v>3</v>
      </c>
      <c r="G36" s="32" t="n">
        <v>4</v>
      </c>
      <c r="H36" s="32" t="n">
        <v>5</v>
      </c>
      <c r="I36" s="32" t="n">
        <v>6</v>
      </c>
      <c r="J36" s="32" t="n">
        <v>7</v>
      </c>
      <c r="K36" s="32" t="n">
        <v>8</v>
      </c>
      <c r="L36" s="32" t="n">
        <v>9</v>
      </c>
      <c r="M36" s="32" t="n">
        <v>10</v>
      </c>
      <c r="N36" s="32" t="n">
        <v>11</v>
      </c>
      <c r="O36" s="32" t="n">
        <v>12</v>
      </c>
      <c r="P36" s="32" t="n">
        <v>13</v>
      </c>
      <c r="Q36" s="32" t="n">
        <v>14</v>
      </c>
      <c r="R36" s="32" t="n">
        <v>15</v>
      </c>
      <c r="S36" s="32" t="n">
        <v>16</v>
      </c>
      <c r="T36" s="32" t="n">
        <v>17</v>
      </c>
      <c r="U36" s="32" t="n">
        <v>18</v>
      </c>
    </row>
    <row r="37" customFormat="false" ht="15" hidden="false" customHeight="false" outlineLevel="0" collapsed="false">
      <c r="A37" s="3" t="s">
        <v>324</v>
      </c>
    </row>
    <row r="38" customFormat="false" ht="15" hidden="false" customHeight="false" outlineLevel="0" collapsed="false">
      <c r="A38" s="9" t="s">
        <v>325</v>
      </c>
      <c r="B38" s="35" t="s">
        <v>326</v>
      </c>
      <c r="C38" s="24" t="n">
        <f aca="false">Drivers!$D$60*$C$5</f>
        <v>2.035</v>
      </c>
      <c r="D38" s="24" t="n">
        <f aca="false">Drivers!$E$60*$C$5</f>
        <v>1.87</v>
      </c>
      <c r="E38" s="24" t="n">
        <f aca="false">Drivers!$F$60*$C$5</f>
        <v>1.705</v>
      </c>
      <c r="F38" s="24" t="n">
        <f aca="false">Drivers!$G$60*$C$5</f>
        <v>1.595</v>
      </c>
      <c r="G38" s="24" t="n">
        <f aca="false">Drivers!$H$60*$C$5</f>
        <v>1.518</v>
      </c>
      <c r="H38" s="24" t="n">
        <f aca="false">Drivers!$I$60*$C$5</f>
        <v>1.43</v>
      </c>
      <c r="I38" s="24" t="n">
        <f aca="false">H38*(1+Drivers!$C$61)</f>
        <v>1.4014</v>
      </c>
      <c r="J38" s="24" t="n">
        <f aca="false">I38*(1+Drivers!$C$61)</f>
        <v>1.373372</v>
      </c>
      <c r="K38" s="24" t="n">
        <f aca="false">J38*(1+Drivers!$C$61)</f>
        <v>1.34590456</v>
      </c>
      <c r="L38" s="24" t="n">
        <f aca="false">K38*(1+Drivers!$C$61)</f>
        <v>1.3189864688</v>
      </c>
      <c r="M38" s="24" t="n">
        <f aca="false">L38*(1+Drivers!$C$61)</f>
        <v>1.292606739424</v>
      </c>
      <c r="N38" s="24" t="n">
        <f aca="false">M38*(1+Drivers!$C$61)</f>
        <v>1.26675460463552</v>
      </c>
      <c r="O38" s="24" t="n">
        <f aca="false">N38*(1+Drivers!$C$61)</f>
        <v>1.24141951254281</v>
      </c>
      <c r="P38" s="24" t="n">
        <f aca="false">O38*(1+Drivers!$C$61)</f>
        <v>1.21659112229195</v>
      </c>
      <c r="Q38" s="24" t="n">
        <f aca="false">P38*(1+Drivers!$C$61)</f>
        <v>1.19225929984611</v>
      </c>
      <c r="R38" s="24" t="n">
        <f aca="false">Q38*(1+Drivers!$C$61)</f>
        <v>1.16841411384919</v>
      </c>
      <c r="S38" s="24" t="n">
        <f aca="false">R38*(1+Drivers!$C$61)</f>
        <v>1.14504583157221</v>
      </c>
      <c r="T38" s="24" t="n">
        <f aca="false">S38*(1+Drivers!$C$61)</f>
        <v>1.12214491494076</v>
      </c>
      <c r="U38" s="24" t="n">
        <f aca="false">T38*(1+Drivers!$C$61)</f>
        <v>1.09970201664195</v>
      </c>
    </row>
    <row r="39" customFormat="false" ht="15" hidden="false" customHeight="false" outlineLevel="0" collapsed="false">
      <c r="A39" s="9" t="s">
        <v>327</v>
      </c>
      <c r="B39" s="35" t="s">
        <v>326</v>
      </c>
      <c r="C39" s="24" t="n">
        <f aca="false">Drivers!$C$62*IF((C$35-Drivers!$C$63)&lt;0,0,MIN(((C$35-Drivers!$C$63)+1)/Drivers!$C$64,1))*$C$6</f>
        <v>0.256</v>
      </c>
      <c r="D39" s="24" t="n">
        <f aca="false">Drivers!$C$62*IF((D$35-Drivers!$C$63)&lt;0,0,MIN(((D$35-Drivers!$C$63)+1)/Drivers!$C$64,1))*$C$6</f>
        <v>0.512</v>
      </c>
      <c r="E39" s="24" t="n">
        <f aca="false">Drivers!$C$62*IF((E$35-Drivers!$C$63)&lt;0,0,MIN(((E$35-Drivers!$C$63)+1)/Drivers!$C$64,1))*$C$6</f>
        <v>0.768</v>
      </c>
      <c r="F39" s="24" t="n">
        <f aca="false">Drivers!$C$62*IF((F$35-Drivers!$C$63)&lt;0,0,MIN(((F$35-Drivers!$C$63)+1)/Drivers!$C$64,1))*$C$6</f>
        <v>1.024</v>
      </c>
      <c r="G39" s="24" t="n">
        <f aca="false">Drivers!$C$62*IF((G$35-Drivers!$C$63)&lt;0,0,MIN(((G$35-Drivers!$C$63)+1)/Drivers!$C$64,1))*$C$6</f>
        <v>1.28</v>
      </c>
      <c r="H39" s="24" t="n">
        <f aca="false">Drivers!$C$62*IF((H$35-Drivers!$C$63)&lt;0,0,MIN(((H$35-Drivers!$C$63)+1)/Drivers!$C$64,1))*$C$6</f>
        <v>1.28</v>
      </c>
      <c r="I39" s="24" t="n">
        <f aca="false">Drivers!$C$62*IF((I$35-Drivers!$C$63)&lt;0,0,MIN(((I$35-Drivers!$C$63)+1)/Drivers!$C$64,1))*$C$6</f>
        <v>1.28</v>
      </c>
      <c r="J39" s="24" t="n">
        <f aca="false">Drivers!$C$62*IF((J$35-Drivers!$C$63)&lt;0,0,MIN(((J$35-Drivers!$C$63)+1)/Drivers!$C$64,1))*$C$6</f>
        <v>1.28</v>
      </c>
      <c r="K39" s="24" t="n">
        <f aca="false">Drivers!$C$62*IF((K$35-Drivers!$C$63)&lt;0,0,MIN(((K$35-Drivers!$C$63)+1)/Drivers!$C$64,1))*$C$6</f>
        <v>1.28</v>
      </c>
      <c r="L39" s="24" t="n">
        <f aca="false">Drivers!$C$62*IF((L$35-Drivers!$C$63)&lt;0,0,MIN(((L$35-Drivers!$C$63)+1)/Drivers!$C$64,1))*$C$6</f>
        <v>1.28</v>
      </c>
      <c r="M39" s="24" t="n">
        <f aca="false">Drivers!$C$62*IF((M$35-Drivers!$C$63)&lt;0,0,MIN(((M$35-Drivers!$C$63)+1)/Drivers!$C$64,1))*$C$6</f>
        <v>1.28</v>
      </c>
      <c r="N39" s="24" t="n">
        <f aca="false">Drivers!$C$62*IF((N$35-Drivers!$C$63)&lt;0,0,MIN(((N$35-Drivers!$C$63)+1)/Drivers!$C$64,1))*$C$6</f>
        <v>1.28</v>
      </c>
      <c r="O39" s="24" t="n">
        <f aca="false">Drivers!$C$62*IF((O$35-Drivers!$C$63)&lt;0,0,MIN(((O$35-Drivers!$C$63)+1)/Drivers!$C$64,1))*$C$6</f>
        <v>1.28</v>
      </c>
      <c r="P39" s="24" t="n">
        <f aca="false">Drivers!$C$62*IF((P$35-Drivers!$C$63)&lt;0,0,MIN(((P$35-Drivers!$C$63)+1)/Drivers!$C$64,1))*$C$6</f>
        <v>1.28</v>
      </c>
      <c r="Q39" s="24" t="n">
        <f aca="false">Drivers!$C$62*IF((Q$35-Drivers!$C$63)&lt;0,0,MIN(((Q$35-Drivers!$C$63)+1)/Drivers!$C$64,1))*$C$6</f>
        <v>1.28</v>
      </c>
      <c r="R39" s="24" t="n">
        <f aca="false">Drivers!$C$62*IF((R$35-Drivers!$C$63)&lt;0,0,MIN(((R$35-Drivers!$C$63)+1)/Drivers!$C$64,1))*$C$6</f>
        <v>1.28</v>
      </c>
      <c r="S39" s="24" t="n">
        <f aca="false">Drivers!$C$62*IF((S$35-Drivers!$C$63)&lt;0,0,MIN(((S$35-Drivers!$C$63)+1)/Drivers!$C$64,1))*$C$6</f>
        <v>1.28</v>
      </c>
      <c r="T39" s="24" t="n">
        <f aca="false">Drivers!$C$62*IF((T$35-Drivers!$C$63)&lt;0,0,MIN(((T$35-Drivers!$C$63)+1)/Drivers!$C$64,1))*$C$6</f>
        <v>1.28</v>
      </c>
      <c r="U39" s="24" t="n">
        <f aca="false">Drivers!$C$62*IF((U$35-Drivers!$C$63)&lt;0,0,MIN(((U$35-Drivers!$C$63)+1)/Drivers!$C$64,1))*$C$6</f>
        <v>1.28</v>
      </c>
    </row>
    <row r="40" customFormat="false" ht="15" hidden="false" customHeight="false" outlineLevel="0" collapsed="false">
      <c r="A40" s="9" t="s">
        <v>328</v>
      </c>
      <c r="B40" s="35" t="s">
        <v>326</v>
      </c>
      <c r="C40" s="24" t="n">
        <f aca="false">Drivers!$C$65*IF((C$35-Drivers!$C$66)&lt;0,0,MIN(((C$35-Drivers!$C$66)+1)/Drivers!$C$67,1))*$C$7*((1-Drivers!$C$69)+Drivers!$C$69*Drivers!$C$68)</f>
        <v>0.37408</v>
      </c>
      <c r="D40" s="24" t="n">
        <f aca="false">Drivers!$C$65*IF((D$35-Drivers!$C$66)&lt;0,0,MIN(((D$35-Drivers!$C$66)+1)/Drivers!$C$67,1))*$C$7*((1-Drivers!$C$69)+Drivers!$C$69*Drivers!$C$68)</f>
        <v>0.74816</v>
      </c>
      <c r="E40" s="24" t="n">
        <f aca="false">Drivers!$C$65*IF((E$35-Drivers!$C$66)&lt;0,0,MIN(((E$35-Drivers!$C$66)+1)/Drivers!$C$67,1))*$C$7*((1-Drivers!$C$69)+Drivers!$C$69*Drivers!$C$68)</f>
        <v>1.12224</v>
      </c>
      <c r="F40" s="24" t="n">
        <f aca="false">Drivers!$C$65*IF((F$35-Drivers!$C$66)&lt;0,0,MIN(((F$35-Drivers!$C$66)+1)/Drivers!$C$67,1))*$C$7*((1-Drivers!$C$69)+Drivers!$C$69*Drivers!$C$68)</f>
        <v>1.49632</v>
      </c>
      <c r="G40" s="24" t="n">
        <f aca="false">Drivers!$C$65*IF((G$35-Drivers!$C$66)&lt;0,0,MIN(((G$35-Drivers!$C$66)+1)/Drivers!$C$67,1))*$C$7*((1-Drivers!$C$69)+Drivers!$C$69*Drivers!$C$68)</f>
        <v>1.8704</v>
      </c>
      <c r="H40" s="24" t="n">
        <f aca="false">Drivers!$C$65*IF((H$35-Drivers!$C$66)&lt;0,0,MIN(((H$35-Drivers!$C$66)+1)/Drivers!$C$67,1))*$C$7*((1-Drivers!$C$69)+Drivers!$C$69*Drivers!$C$68)</f>
        <v>1.8704</v>
      </c>
      <c r="I40" s="24" t="n">
        <f aca="false">Drivers!$C$65*IF((I$35-Drivers!$C$66)&lt;0,0,MIN(((I$35-Drivers!$C$66)+1)/Drivers!$C$67,1))*$C$7*((1-Drivers!$C$69)+Drivers!$C$69*Drivers!$C$68)</f>
        <v>1.8704</v>
      </c>
      <c r="J40" s="24" t="n">
        <f aca="false">Drivers!$C$65*IF((J$35-Drivers!$C$66)&lt;0,0,MIN(((J$35-Drivers!$C$66)+1)/Drivers!$C$67,1))*$C$7*((1-Drivers!$C$69)+Drivers!$C$69*Drivers!$C$68)</f>
        <v>1.8704</v>
      </c>
      <c r="K40" s="24" t="n">
        <f aca="false">Drivers!$C$65*IF((K$35-Drivers!$C$66)&lt;0,0,MIN(((K$35-Drivers!$C$66)+1)/Drivers!$C$67,1))*$C$7*((1-Drivers!$C$69)+Drivers!$C$69*Drivers!$C$68)</f>
        <v>1.8704</v>
      </c>
      <c r="L40" s="24" t="n">
        <f aca="false">Drivers!$C$65*IF((L$35-Drivers!$C$66)&lt;0,0,MIN(((L$35-Drivers!$C$66)+1)/Drivers!$C$67,1))*$C$7*((1-Drivers!$C$69)+Drivers!$C$69*Drivers!$C$68)</f>
        <v>1.8704</v>
      </c>
      <c r="M40" s="24" t="n">
        <f aca="false">Drivers!$C$65*IF((M$35-Drivers!$C$66)&lt;0,0,MIN(((M$35-Drivers!$C$66)+1)/Drivers!$C$67,1))*$C$7*((1-Drivers!$C$69)+Drivers!$C$69*Drivers!$C$68)</f>
        <v>1.8704</v>
      </c>
      <c r="N40" s="24" t="n">
        <f aca="false">Drivers!$C$65*IF((N$35-Drivers!$C$66)&lt;0,0,MIN(((N$35-Drivers!$C$66)+1)/Drivers!$C$67,1))*$C$7*((1-Drivers!$C$69)+Drivers!$C$69*Drivers!$C$68)</f>
        <v>1.8704</v>
      </c>
      <c r="O40" s="24" t="n">
        <f aca="false">Drivers!$C$65*IF((O$35-Drivers!$C$66)&lt;0,0,MIN(((O$35-Drivers!$C$66)+1)/Drivers!$C$67,1))*$C$7*((1-Drivers!$C$69)+Drivers!$C$69*Drivers!$C$68)</f>
        <v>1.8704</v>
      </c>
      <c r="P40" s="24" t="n">
        <f aca="false">Drivers!$C$65*IF((P$35-Drivers!$C$66)&lt;0,0,MIN(((P$35-Drivers!$C$66)+1)/Drivers!$C$67,1))*$C$7*((1-Drivers!$C$69)+Drivers!$C$69*Drivers!$C$68)</f>
        <v>1.8704</v>
      </c>
      <c r="Q40" s="24" t="n">
        <f aca="false">Drivers!$C$65*IF((Q$35-Drivers!$C$66)&lt;0,0,MIN(((Q$35-Drivers!$C$66)+1)/Drivers!$C$67,1))*$C$7*((1-Drivers!$C$69)+Drivers!$C$69*Drivers!$C$68)</f>
        <v>1.8704</v>
      </c>
      <c r="R40" s="24" t="n">
        <f aca="false">Drivers!$C$65*IF((R$35-Drivers!$C$66)&lt;0,0,MIN(((R$35-Drivers!$C$66)+1)/Drivers!$C$67,1))*$C$7*((1-Drivers!$C$69)+Drivers!$C$69*Drivers!$C$68)</f>
        <v>1.8704</v>
      </c>
      <c r="S40" s="24" t="n">
        <f aca="false">Drivers!$C$65*IF((S$35-Drivers!$C$66)&lt;0,0,MIN(((S$35-Drivers!$C$66)+1)/Drivers!$C$67,1))*$C$7*((1-Drivers!$C$69)+Drivers!$C$69*Drivers!$C$68)</f>
        <v>1.8704</v>
      </c>
      <c r="T40" s="24" t="n">
        <f aca="false">Drivers!$C$65*IF((T$35-Drivers!$C$66)&lt;0,0,MIN(((T$35-Drivers!$C$66)+1)/Drivers!$C$67,1))*$C$7*((1-Drivers!$C$69)+Drivers!$C$69*Drivers!$C$68)</f>
        <v>1.8704</v>
      </c>
      <c r="U40" s="24" t="n">
        <f aca="false">Drivers!$C$65*IF((U$35-Drivers!$C$66)&lt;0,0,MIN(((U$35-Drivers!$C$66)+1)/Drivers!$C$67,1))*$C$7*((1-Drivers!$C$69)+Drivers!$C$69*Drivers!$C$68)</f>
        <v>1.8704</v>
      </c>
    </row>
    <row r="41" customFormat="false" ht="15" hidden="false" customHeight="false" outlineLevel="0" collapsed="false">
      <c r="A41" s="9" t="s">
        <v>329</v>
      </c>
      <c r="B41" s="35" t="s">
        <v>326</v>
      </c>
      <c r="C41" s="24" t="n">
        <f aca="false">Drivers!$C$70*MIN((C$35-2026)/3,1)</f>
        <v>0.05</v>
      </c>
      <c r="D41" s="24" t="n">
        <f aca="false">Drivers!$C$70*MIN((D$35-2026)/3,1)</f>
        <v>0.1</v>
      </c>
      <c r="E41" s="24" t="n">
        <f aca="false">Drivers!$C$70*MIN((E$35-2026)/3,1)</f>
        <v>0.15</v>
      </c>
      <c r="F41" s="24" t="n">
        <f aca="false">Drivers!$C$70*MIN((F$35-2026)/3,1)</f>
        <v>0.15</v>
      </c>
      <c r="G41" s="24" t="n">
        <f aca="false">Drivers!$C$70*MIN((G$35-2026)/3,1)</f>
        <v>0.15</v>
      </c>
      <c r="H41" s="24" t="n">
        <f aca="false">Drivers!$C$70*MIN((H$35-2026)/3,1)</f>
        <v>0.15</v>
      </c>
      <c r="I41" s="24" t="n">
        <f aca="false">Drivers!$C$70*MIN((I$35-2026)/3,1)</f>
        <v>0.15</v>
      </c>
      <c r="J41" s="24" t="n">
        <f aca="false">Drivers!$C$70*MIN((J$35-2026)/3,1)</f>
        <v>0.15</v>
      </c>
      <c r="K41" s="24" t="n">
        <f aca="false">Drivers!$C$70*MIN((K$35-2026)/3,1)</f>
        <v>0.15</v>
      </c>
      <c r="L41" s="24" t="n">
        <f aca="false">Drivers!$C$70*MIN((L$35-2026)/3,1)</f>
        <v>0.15</v>
      </c>
      <c r="M41" s="24" t="n">
        <f aca="false">Drivers!$C$70*MIN((M$35-2026)/3,1)</f>
        <v>0.15</v>
      </c>
      <c r="N41" s="24" t="n">
        <f aca="false">Drivers!$C$70*MIN((N$35-2026)/3,1)</f>
        <v>0.15</v>
      </c>
      <c r="O41" s="24" t="n">
        <f aca="false">Drivers!$C$70*MIN((O$35-2026)/3,1)</f>
        <v>0.15</v>
      </c>
      <c r="P41" s="24" t="n">
        <f aca="false">Drivers!$C$70*MIN((P$35-2026)/3,1)</f>
        <v>0.15</v>
      </c>
      <c r="Q41" s="24" t="n">
        <f aca="false">Drivers!$C$70*MIN((Q$35-2026)/3,1)</f>
        <v>0.15</v>
      </c>
      <c r="R41" s="24" t="n">
        <f aca="false">Drivers!$C$70*MIN((R$35-2026)/3,1)</f>
        <v>0.15</v>
      </c>
      <c r="S41" s="24" t="n">
        <f aca="false">Drivers!$C$70*MIN((S$35-2026)/3,1)</f>
        <v>0.15</v>
      </c>
      <c r="T41" s="24" t="n">
        <f aca="false">Drivers!$C$70*MIN((T$35-2026)/3,1)</f>
        <v>0.15</v>
      </c>
      <c r="U41" s="24" t="n">
        <f aca="false">Drivers!$C$70*MIN((U$35-2026)/3,1)</f>
        <v>0.15</v>
      </c>
    </row>
    <row r="42" customFormat="false" ht="15" hidden="false" customHeight="false" outlineLevel="0" collapsed="false">
      <c r="A42" s="9" t="s">
        <v>330</v>
      </c>
      <c r="B42" s="35" t="s">
        <v>326</v>
      </c>
      <c r="C42" s="24" t="n">
        <f aca="false">$C$8*Drivers!$C$71*IF((C$35-Drivers!$C$72)&lt;0,0,MIN(((C$35-Drivers!$C$72)+1)/Drivers!$C$73,1))</f>
        <v>0</v>
      </c>
      <c r="D42" s="24" t="n">
        <f aca="false">$C$8*Drivers!$C$71*IF((D$35-Drivers!$C$72)&lt;0,0,MIN(((D$35-Drivers!$C$72)+1)/Drivers!$C$73,1))</f>
        <v>0</v>
      </c>
      <c r="E42" s="24" t="n">
        <f aca="false">$C$8*Drivers!$C$71*IF((E$35-Drivers!$C$72)&lt;0,0,MIN(((E$35-Drivers!$C$72)+1)/Drivers!$C$73,1))</f>
        <v>0.24</v>
      </c>
      <c r="F42" s="24" t="n">
        <f aca="false">$C$8*Drivers!$C$71*IF((F$35-Drivers!$C$72)&lt;0,0,MIN(((F$35-Drivers!$C$72)+1)/Drivers!$C$73,1))</f>
        <v>0.48</v>
      </c>
      <c r="G42" s="24" t="n">
        <f aca="false">$C$8*Drivers!$C$71*IF((G$35-Drivers!$C$72)&lt;0,0,MIN(((G$35-Drivers!$C$72)+1)/Drivers!$C$73,1))</f>
        <v>0.72</v>
      </c>
      <c r="H42" s="24" t="n">
        <f aca="false">$C$8*Drivers!$C$71*IF((H$35-Drivers!$C$72)&lt;0,0,MIN(((H$35-Drivers!$C$72)+1)/Drivers!$C$73,1))</f>
        <v>0.96</v>
      </c>
      <c r="I42" s="24" t="n">
        <f aca="false">$C$8*Drivers!$C$71*IF((I$35-Drivers!$C$72)&lt;0,0,MIN(((I$35-Drivers!$C$72)+1)/Drivers!$C$73,1))</f>
        <v>1.2</v>
      </c>
      <c r="J42" s="24" t="n">
        <f aca="false">$C$8*Drivers!$C$71*IF((J$35-Drivers!$C$72)&lt;0,0,MIN(((J$35-Drivers!$C$72)+1)/Drivers!$C$73,1))</f>
        <v>1.2</v>
      </c>
      <c r="K42" s="24" t="n">
        <f aca="false">$C$8*Drivers!$C$71*IF((K$35-Drivers!$C$72)&lt;0,0,MIN(((K$35-Drivers!$C$72)+1)/Drivers!$C$73,1))</f>
        <v>1.2</v>
      </c>
      <c r="L42" s="24" t="n">
        <f aca="false">$C$8*Drivers!$C$71*IF((L$35-Drivers!$C$72)&lt;0,0,MIN(((L$35-Drivers!$C$72)+1)/Drivers!$C$73,1))</f>
        <v>1.2</v>
      </c>
      <c r="M42" s="24" t="n">
        <f aca="false">$C$8*Drivers!$C$71*IF((M$35-Drivers!$C$72)&lt;0,0,MIN(((M$35-Drivers!$C$72)+1)/Drivers!$C$73,1))</f>
        <v>1.2</v>
      </c>
      <c r="N42" s="24" t="n">
        <f aca="false">$C$8*Drivers!$C$71*IF((N$35-Drivers!$C$72)&lt;0,0,MIN(((N$35-Drivers!$C$72)+1)/Drivers!$C$73,1))</f>
        <v>1.2</v>
      </c>
      <c r="O42" s="24" t="n">
        <f aca="false">$C$8*Drivers!$C$71*IF((O$35-Drivers!$C$72)&lt;0,0,MIN(((O$35-Drivers!$C$72)+1)/Drivers!$C$73,1))</f>
        <v>1.2</v>
      </c>
      <c r="P42" s="24" t="n">
        <f aca="false">$C$8*Drivers!$C$71*IF((P$35-Drivers!$C$72)&lt;0,0,MIN(((P$35-Drivers!$C$72)+1)/Drivers!$C$73,1))</f>
        <v>1.2</v>
      </c>
      <c r="Q42" s="24" t="n">
        <f aca="false">$C$8*Drivers!$C$71*IF((Q$35-Drivers!$C$72)&lt;0,0,MIN(((Q$35-Drivers!$C$72)+1)/Drivers!$C$73,1))</f>
        <v>1.2</v>
      </c>
      <c r="R42" s="24" t="n">
        <f aca="false">$C$8*Drivers!$C$71*IF((R$35-Drivers!$C$72)&lt;0,0,MIN(((R$35-Drivers!$C$72)+1)/Drivers!$C$73,1))</f>
        <v>1.2</v>
      </c>
      <c r="S42" s="24" t="n">
        <f aca="false">$C$8*Drivers!$C$71*IF((S$35-Drivers!$C$72)&lt;0,0,MIN(((S$35-Drivers!$C$72)+1)/Drivers!$C$73,1))</f>
        <v>1.2</v>
      </c>
      <c r="T42" s="24" t="n">
        <f aca="false">$C$8*Drivers!$C$71*IF((T$35-Drivers!$C$72)&lt;0,0,MIN(((T$35-Drivers!$C$72)+1)/Drivers!$C$73,1))</f>
        <v>1.2</v>
      </c>
      <c r="U42" s="24" t="n">
        <f aca="false">$C$8*Drivers!$C$71*IF((U$35-Drivers!$C$72)&lt;0,0,MIN(((U$35-Drivers!$C$72)+1)/Drivers!$C$73,1))</f>
        <v>1.2</v>
      </c>
    </row>
    <row r="43" customFormat="false" ht="15" hidden="false" customHeight="false" outlineLevel="0" collapsed="false">
      <c r="A43" s="9" t="s">
        <v>331</v>
      </c>
      <c r="B43" s="35" t="s">
        <v>326</v>
      </c>
      <c r="C43" s="24" t="n">
        <f aca="false">Drivers!$C$74</f>
        <v>0.15</v>
      </c>
      <c r="D43" s="24" t="n">
        <f aca="false">Drivers!$C$74</f>
        <v>0.15</v>
      </c>
      <c r="E43" s="24" t="n">
        <f aca="false">Drivers!$C$74</f>
        <v>0.15</v>
      </c>
      <c r="F43" s="24" t="n">
        <f aca="false">Drivers!$C$74</f>
        <v>0.15</v>
      </c>
      <c r="G43" s="24" t="n">
        <f aca="false">Drivers!$C$74</f>
        <v>0.15</v>
      </c>
      <c r="H43" s="24" t="n">
        <f aca="false">Drivers!$C$74</f>
        <v>0.15</v>
      </c>
      <c r="I43" s="24" t="n">
        <f aca="false">Drivers!$C$74</f>
        <v>0.15</v>
      </c>
      <c r="J43" s="24" t="n">
        <f aca="false">Drivers!$C$74</f>
        <v>0.15</v>
      </c>
      <c r="K43" s="24" t="n">
        <f aca="false">Drivers!$C$74</f>
        <v>0.15</v>
      </c>
      <c r="L43" s="24" t="n">
        <f aca="false">Drivers!$C$74</f>
        <v>0.15</v>
      </c>
      <c r="M43" s="24" t="n">
        <f aca="false">Drivers!$C$74</f>
        <v>0.15</v>
      </c>
      <c r="N43" s="24" t="n">
        <f aca="false">Drivers!$C$74</f>
        <v>0.15</v>
      </c>
      <c r="O43" s="24" t="n">
        <f aca="false">Drivers!$C$74</f>
        <v>0.15</v>
      </c>
      <c r="P43" s="24" t="n">
        <f aca="false">Drivers!$C$74</f>
        <v>0.15</v>
      </c>
      <c r="Q43" s="24" t="n">
        <f aca="false">Drivers!$C$74</f>
        <v>0.15</v>
      </c>
      <c r="R43" s="24" t="n">
        <f aca="false">Drivers!$C$74</f>
        <v>0.15</v>
      </c>
      <c r="S43" s="24" t="n">
        <f aca="false">Drivers!$C$74</f>
        <v>0.15</v>
      </c>
      <c r="T43" s="24" t="n">
        <f aca="false">Drivers!$C$74</f>
        <v>0.15</v>
      </c>
      <c r="U43" s="24" t="n">
        <f aca="false">Drivers!$C$74</f>
        <v>0.15</v>
      </c>
    </row>
    <row r="44" customFormat="false" ht="15" hidden="false" customHeight="false" outlineLevel="0" collapsed="false">
      <c r="A44" s="3" t="s">
        <v>332</v>
      </c>
      <c r="B44" s="35" t="s">
        <v>326</v>
      </c>
      <c r="C44" s="29" t="n">
        <f aca="false">SUM(C38:C43)</f>
        <v>2.86508</v>
      </c>
      <c r="D44" s="29" t="n">
        <f aca="false">SUM(D38:D43)</f>
        <v>3.38016</v>
      </c>
      <c r="E44" s="29" t="n">
        <f aca="false">SUM(E38:E43)</f>
        <v>4.13524</v>
      </c>
      <c r="F44" s="29" t="n">
        <f aca="false">SUM(F38:F43)</f>
        <v>4.89532</v>
      </c>
      <c r="G44" s="29" t="n">
        <f aca="false">SUM(G38:G43)</f>
        <v>5.6884</v>
      </c>
      <c r="H44" s="29" t="n">
        <f aca="false">SUM(H38:H43)</f>
        <v>5.8404</v>
      </c>
      <c r="I44" s="29" t="n">
        <f aca="false">SUM(I38:I43)</f>
        <v>6.0518</v>
      </c>
      <c r="J44" s="29" t="n">
        <f aca="false">SUM(J38:J43)</f>
        <v>6.023772</v>
      </c>
      <c r="K44" s="29" t="n">
        <f aca="false">SUM(K38:K43)</f>
        <v>5.99630456</v>
      </c>
      <c r="L44" s="29" t="n">
        <f aca="false">SUM(L38:L43)</f>
        <v>5.9693864688</v>
      </c>
      <c r="M44" s="29" t="n">
        <f aca="false">SUM(M38:M43)</f>
        <v>5.943006739424</v>
      </c>
      <c r="N44" s="29" t="n">
        <f aca="false">SUM(N38:N43)</f>
        <v>5.91715460463552</v>
      </c>
      <c r="O44" s="29" t="n">
        <f aca="false">SUM(O38:O43)</f>
        <v>5.89181951254281</v>
      </c>
      <c r="P44" s="29" t="n">
        <f aca="false">SUM(P38:P43)</f>
        <v>5.86699112229195</v>
      </c>
      <c r="Q44" s="29" t="n">
        <f aca="false">SUM(Q38:Q43)</f>
        <v>5.84265929984611</v>
      </c>
      <c r="R44" s="29" t="n">
        <f aca="false">SUM(R38:R43)</f>
        <v>5.81881411384919</v>
      </c>
      <c r="S44" s="29" t="n">
        <f aca="false">SUM(S38:S43)</f>
        <v>5.79544583157221</v>
      </c>
      <c r="T44" s="29" t="n">
        <f aca="false">SUM(T38:T43)</f>
        <v>5.77254491494077</v>
      </c>
      <c r="U44" s="29" t="n">
        <f aca="false">SUM(U38:U43)</f>
        <v>5.75010201664195</v>
      </c>
    </row>
    <row r="45" customFormat="false" ht="15" hidden="false" customHeight="false" outlineLevel="0" collapsed="false">
      <c r="A45" s="9" t="s">
        <v>333</v>
      </c>
      <c r="B45" s="35" t="s">
        <v>334</v>
      </c>
      <c r="C45" s="11" t="n">
        <f aca="false">Drivers!$D$75+$C$9</f>
        <v>0.67</v>
      </c>
      <c r="D45" s="11" t="n">
        <f aca="false">Drivers!$E$75+$C$9</f>
        <v>0.71</v>
      </c>
      <c r="E45" s="11" t="n">
        <f aca="false">Drivers!$F$75+$C$9</f>
        <v>0.74</v>
      </c>
      <c r="F45" s="11" t="n">
        <f aca="false">Drivers!$G$75+$C$9</f>
        <v>0.76</v>
      </c>
      <c r="G45" s="11" t="n">
        <f aca="false">Drivers!$H$75+$C$9</f>
        <v>0.77</v>
      </c>
      <c r="H45" s="11" t="n">
        <f aca="false">Drivers!$I$75+$C$9</f>
        <v>0.78</v>
      </c>
      <c r="I45" s="11" t="n">
        <f aca="false">Drivers!$I$75+$C$9</f>
        <v>0.78</v>
      </c>
      <c r="J45" s="11" t="n">
        <f aca="false">Drivers!$I$75+$C$9</f>
        <v>0.78</v>
      </c>
      <c r="K45" s="11" t="n">
        <f aca="false">Drivers!$I$75+$C$9</f>
        <v>0.78</v>
      </c>
      <c r="L45" s="11" t="n">
        <f aca="false">Drivers!$I$75+$C$9</f>
        <v>0.78</v>
      </c>
      <c r="M45" s="11" t="n">
        <f aca="false">Drivers!$I$75+$C$9</f>
        <v>0.78</v>
      </c>
      <c r="N45" s="11" t="n">
        <f aca="false">Drivers!$I$75+$C$9</f>
        <v>0.78</v>
      </c>
      <c r="O45" s="11" t="n">
        <f aca="false">Drivers!$I$75+$C$9</f>
        <v>0.78</v>
      </c>
      <c r="P45" s="11" t="n">
        <f aca="false">Drivers!$I$75+$C$9</f>
        <v>0.78</v>
      </c>
      <c r="Q45" s="11" t="n">
        <f aca="false">Drivers!$I$75+$C$9</f>
        <v>0.78</v>
      </c>
      <c r="R45" s="11" t="n">
        <f aca="false">Drivers!$I$75+$C$9</f>
        <v>0.78</v>
      </c>
      <c r="S45" s="11" t="n">
        <f aca="false">Drivers!$I$75+$C$9</f>
        <v>0.78</v>
      </c>
      <c r="T45" s="11" t="n">
        <f aca="false">Drivers!$I$75+$C$9</f>
        <v>0.78</v>
      </c>
      <c r="U45" s="11" t="n">
        <f aca="false">Drivers!$I$75+$C$9</f>
        <v>0.78</v>
      </c>
    </row>
    <row r="46" customFormat="false" ht="15" hidden="false" customHeight="false" outlineLevel="0" collapsed="false">
      <c r="A46" s="9" t="s">
        <v>335</v>
      </c>
      <c r="B46" s="35" t="s">
        <v>326</v>
      </c>
      <c r="C46" s="24" t="n">
        <f aca="false">C39+C40</f>
        <v>0.63008</v>
      </c>
      <c r="D46" s="24" t="n">
        <f aca="false">D39+D40</f>
        <v>1.26016</v>
      </c>
      <c r="E46" s="24" t="n">
        <f aca="false">E39+E40</f>
        <v>1.89024</v>
      </c>
      <c r="F46" s="24" t="n">
        <f aca="false">F39+F40</f>
        <v>2.52032</v>
      </c>
      <c r="G46" s="24" t="n">
        <f aca="false">G39+G40</f>
        <v>3.1504</v>
      </c>
      <c r="H46" s="24" t="n">
        <f aca="false">H39+H40</f>
        <v>3.1504</v>
      </c>
      <c r="I46" s="24" t="n">
        <f aca="false">I39+I40</f>
        <v>3.1504</v>
      </c>
      <c r="J46" s="24" t="n">
        <f aca="false">J39+J40</f>
        <v>3.1504</v>
      </c>
      <c r="K46" s="24" t="n">
        <f aca="false">K39+K40</f>
        <v>3.1504</v>
      </c>
      <c r="L46" s="24" t="n">
        <f aca="false">L39+L40</f>
        <v>3.1504</v>
      </c>
      <c r="M46" s="24" t="n">
        <f aca="false">M39+M40</f>
        <v>3.1504</v>
      </c>
      <c r="N46" s="24" t="n">
        <f aca="false">N39+N40</f>
        <v>3.1504</v>
      </c>
      <c r="O46" s="24" t="n">
        <f aca="false">O39+O40</f>
        <v>3.1504</v>
      </c>
      <c r="P46" s="24" t="n">
        <f aca="false">P39+P40</f>
        <v>3.1504</v>
      </c>
      <c r="Q46" s="24" t="n">
        <f aca="false">Q39+Q40</f>
        <v>3.1504</v>
      </c>
      <c r="R46" s="24" t="n">
        <f aca="false">R39+R40</f>
        <v>3.1504</v>
      </c>
      <c r="S46" s="24" t="n">
        <f aca="false">S39+S40</f>
        <v>3.1504</v>
      </c>
      <c r="T46" s="24" t="n">
        <f aca="false">T39+T40</f>
        <v>3.1504</v>
      </c>
      <c r="U46" s="24" t="n">
        <f aca="false">U39+U40</f>
        <v>3.1504</v>
      </c>
    </row>
    <row r="47" customFormat="false" ht="15" hidden="false" customHeight="false" outlineLevel="0" collapsed="false">
      <c r="A47" s="9" t="s">
        <v>336</v>
      </c>
      <c r="B47" s="35" t="s">
        <v>326</v>
      </c>
      <c r="C47" s="24" t="n">
        <f aca="false">MIN(Drivers!$C$77-0,Drivers!$C$78*C46)</f>
        <v>0.0504064</v>
      </c>
      <c r="D47" s="24" t="n">
        <f aca="false">MIN(Drivers!$C$77-C48,Drivers!$C$78*D46)</f>
        <v>0.1008128</v>
      </c>
      <c r="E47" s="24" t="n">
        <f aca="false">MIN(Drivers!$C$77-D48,Drivers!$C$78*E46)</f>
        <v>0.1512192</v>
      </c>
      <c r="F47" s="24" t="n">
        <f aca="false">MIN(Drivers!$C$77-E48,Drivers!$C$78*F46)</f>
        <v>0.2016256</v>
      </c>
      <c r="G47" s="24" t="n">
        <f aca="false">MIN(Drivers!$C$77-F48,Drivers!$C$78*G46)</f>
        <v>0.245936</v>
      </c>
      <c r="H47" s="24" t="n">
        <f aca="false">MIN(Drivers!$C$77-G48,Drivers!$C$78*H46)</f>
        <v>0</v>
      </c>
      <c r="I47" s="24" t="n">
        <f aca="false">MIN(Drivers!$C$77-H48,Drivers!$C$78*I46)</f>
        <v>0</v>
      </c>
      <c r="J47" s="24" t="n">
        <f aca="false">MIN(Drivers!$C$77-I48,Drivers!$C$78*J46)</f>
        <v>0</v>
      </c>
      <c r="K47" s="24" t="n">
        <f aca="false">MIN(Drivers!$C$77-J48,Drivers!$C$78*K46)</f>
        <v>0</v>
      </c>
      <c r="L47" s="24" t="n">
        <f aca="false">MIN(Drivers!$C$77-K48,Drivers!$C$78*L46)</f>
        <v>0</v>
      </c>
      <c r="M47" s="24" t="n">
        <f aca="false">MIN(Drivers!$C$77-L48,Drivers!$C$78*M46)</f>
        <v>0</v>
      </c>
      <c r="N47" s="24" t="n">
        <f aca="false">MIN(Drivers!$C$77-M48,Drivers!$C$78*N46)</f>
        <v>0</v>
      </c>
      <c r="O47" s="24" t="n">
        <f aca="false">MIN(Drivers!$C$77-N48,Drivers!$C$78*O46)</f>
        <v>0</v>
      </c>
      <c r="P47" s="24" t="n">
        <f aca="false">MIN(Drivers!$C$77-O48,Drivers!$C$78*P46)</f>
        <v>0</v>
      </c>
      <c r="Q47" s="24" t="n">
        <f aca="false">MIN(Drivers!$C$77-P48,Drivers!$C$78*Q46)</f>
        <v>0</v>
      </c>
      <c r="R47" s="24" t="n">
        <f aca="false">MIN(Drivers!$C$77-Q48,Drivers!$C$78*R46)</f>
        <v>0</v>
      </c>
      <c r="S47" s="24" t="n">
        <f aca="false">MIN(Drivers!$C$77-R48,Drivers!$C$78*S46)</f>
        <v>0</v>
      </c>
      <c r="T47" s="24" t="n">
        <f aca="false">MIN(Drivers!$C$77-S48,Drivers!$C$78*T46)</f>
        <v>0</v>
      </c>
      <c r="U47" s="24" t="n">
        <f aca="false">MIN(Drivers!$C$77-T48,Drivers!$C$78*U46)</f>
        <v>0</v>
      </c>
    </row>
    <row r="48" customFormat="false" ht="15" hidden="false" customHeight="false" outlineLevel="0" collapsed="false">
      <c r="A48" s="9" t="s">
        <v>337</v>
      </c>
      <c r="B48" s="35" t="s">
        <v>326</v>
      </c>
      <c r="C48" s="24" t="n">
        <f aca="false">C47</f>
        <v>0.0504064</v>
      </c>
      <c r="D48" s="24" t="n">
        <f aca="false">C48+D47</f>
        <v>0.1512192</v>
      </c>
      <c r="E48" s="24" t="n">
        <f aca="false">D48+E47</f>
        <v>0.3024384</v>
      </c>
      <c r="F48" s="24" t="n">
        <f aca="false">E48+F47</f>
        <v>0.504064</v>
      </c>
      <c r="G48" s="24" t="n">
        <f aca="false">F48+G47</f>
        <v>0.75</v>
      </c>
      <c r="H48" s="24" t="n">
        <f aca="false">G48+H47</f>
        <v>0.75</v>
      </c>
      <c r="I48" s="24" t="n">
        <f aca="false">H48+I47</f>
        <v>0.75</v>
      </c>
      <c r="J48" s="24" t="n">
        <f aca="false">I48+J47</f>
        <v>0.75</v>
      </c>
      <c r="K48" s="24" t="n">
        <f aca="false">J48+K47</f>
        <v>0.75</v>
      </c>
      <c r="L48" s="24" t="n">
        <f aca="false">K48+L47</f>
        <v>0.75</v>
      </c>
      <c r="M48" s="24" t="n">
        <f aca="false">L48+M47</f>
        <v>0.75</v>
      </c>
      <c r="N48" s="24" t="n">
        <f aca="false">M48+N47</f>
        <v>0.75</v>
      </c>
      <c r="O48" s="24" t="n">
        <f aca="false">N48+O47</f>
        <v>0.75</v>
      </c>
      <c r="P48" s="24" t="n">
        <f aca="false">O48+P47</f>
        <v>0.75</v>
      </c>
      <c r="Q48" s="24" t="n">
        <f aca="false">P48+Q47</f>
        <v>0.75</v>
      </c>
      <c r="R48" s="24" t="n">
        <f aca="false">Q48+R47</f>
        <v>0.75</v>
      </c>
      <c r="S48" s="24" t="n">
        <f aca="false">R48+S47</f>
        <v>0.75</v>
      </c>
      <c r="T48" s="24" t="n">
        <f aca="false">S48+T47</f>
        <v>0.75</v>
      </c>
      <c r="U48" s="24" t="n">
        <f aca="false">T48+U47</f>
        <v>0.75</v>
      </c>
    </row>
    <row r="49" customFormat="false" ht="15" hidden="false" customHeight="false" outlineLevel="0" collapsed="false">
      <c r="A49" s="9" t="s">
        <v>338</v>
      </c>
      <c r="B49" s="35" t="s">
        <v>326</v>
      </c>
      <c r="C49" s="24" t="n">
        <f aca="false">Drivers!$C$76*C46+C47</f>
        <v>0.0661584</v>
      </c>
      <c r="D49" s="24" t="n">
        <f aca="false">Drivers!$C$76*D46+D47</f>
        <v>0.1323168</v>
      </c>
      <c r="E49" s="24" t="n">
        <f aca="false">Drivers!$C$76*E46+E47</f>
        <v>0.1984752</v>
      </c>
      <c r="F49" s="24" t="n">
        <f aca="false">Drivers!$C$76*F46+F47</f>
        <v>0.2646336</v>
      </c>
      <c r="G49" s="24" t="n">
        <f aca="false">Drivers!$C$76*G46+G47</f>
        <v>0.324696</v>
      </c>
      <c r="H49" s="24" t="n">
        <f aca="false">Drivers!$C$76*H46+H47</f>
        <v>0.07876</v>
      </c>
      <c r="I49" s="24" t="n">
        <f aca="false">Drivers!$C$76*I46+I47</f>
        <v>0.07876</v>
      </c>
      <c r="J49" s="24" t="n">
        <f aca="false">Drivers!$C$76*J46+J47</f>
        <v>0.07876</v>
      </c>
      <c r="K49" s="24" t="n">
        <f aca="false">Drivers!$C$76*K46+K47</f>
        <v>0.07876</v>
      </c>
      <c r="L49" s="24" t="n">
        <f aca="false">Drivers!$C$76*L46+L47</f>
        <v>0.07876</v>
      </c>
      <c r="M49" s="24" t="n">
        <f aca="false">Drivers!$C$76*M46+M47</f>
        <v>0.07876</v>
      </c>
      <c r="N49" s="24" t="n">
        <f aca="false">Drivers!$C$76*N46+N47</f>
        <v>0.07876</v>
      </c>
      <c r="O49" s="24" t="n">
        <f aca="false">Drivers!$C$76*O46+O47</f>
        <v>0.07876</v>
      </c>
      <c r="P49" s="24" t="n">
        <f aca="false">Drivers!$C$76*P46+P47</f>
        <v>0.07876</v>
      </c>
      <c r="Q49" s="24" t="n">
        <f aca="false">Drivers!$C$76*Q46+Q47</f>
        <v>0.07876</v>
      </c>
      <c r="R49" s="24" t="n">
        <f aca="false">Drivers!$C$76*R46+R47</f>
        <v>0.07876</v>
      </c>
      <c r="S49" s="24" t="n">
        <f aca="false">Drivers!$C$76*S46+S47</f>
        <v>0.07876</v>
      </c>
      <c r="T49" s="24" t="n">
        <f aca="false">Drivers!$C$76*T46+T47</f>
        <v>0.07876</v>
      </c>
      <c r="U49" s="24" t="n">
        <f aca="false">Drivers!$C$76*U46+U47</f>
        <v>0.07876</v>
      </c>
    </row>
    <row r="50" customFormat="false" ht="15" hidden="false" customHeight="false" outlineLevel="0" collapsed="false">
      <c r="A50" s="9" t="s">
        <v>339</v>
      </c>
      <c r="B50" s="35" t="s">
        <v>326</v>
      </c>
      <c r="C50" s="24" t="n">
        <f aca="false">MAX(Drivers!$C$80,Drivers!$C$79*C44)</f>
        <v>0.4011112</v>
      </c>
      <c r="D50" s="24" t="n">
        <f aca="false">MAX(Drivers!$C$80,Drivers!$C$79*D44)</f>
        <v>0.4732224</v>
      </c>
      <c r="E50" s="24" t="n">
        <f aca="false">MAX(Drivers!$C$80,Drivers!$C$79*E44)</f>
        <v>0.5789336</v>
      </c>
      <c r="F50" s="24" t="n">
        <f aca="false">MAX(Drivers!$C$80,Drivers!$C$79*F44)</f>
        <v>0.6853448</v>
      </c>
      <c r="G50" s="24" t="n">
        <f aca="false">MAX(Drivers!$C$80,Drivers!$C$79*G44)</f>
        <v>0.796376</v>
      </c>
      <c r="H50" s="24" t="n">
        <f aca="false">MAX(Drivers!$C$80,Drivers!$C$79*H44)</f>
        <v>0.817656</v>
      </c>
      <c r="I50" s="24" t="n">
        <f aca="false">MAX(Drivers!$C$80,Drivers!$C$79*I44)</f>
        <v>0.847252</v>
      </c>
      <c r="J50" s="24" t="n">
        <f aca="false">MAX(Drivers!$C$80,Drivers!$C$79*J44)</f>
        <v>0.84332808</v>
      </c>
      <c r="K50" s="24" t="n">
        <f aca="false">MAX(Drivers!$C$80,Drivers!$C$79*K44)</f>
        <v>0.8394826384</v>
      </c>
      <c r="L50" s="24" t="n">
        <f aca="false">MAX(Drivers!$C$80,Drivers!$C$79*L44)</f>
        <v>0.835714105632</v>
      </c>
      <c r="M50" s="24" t="n">
        <f aca="false">MAX(Drivers!$C$80,Drivers!$C$79*M44)</f>
        <v>0.83202094351936</v>
      </c>
      <c r="N50" s="24" t="n">
        <f aca="false">MAX(Drivers!$C$80,Drivers!$C$79*N44)</f>
        <v>0.828401644648973</v>
      </c>
      <c r="O50" s="24" t="n">
        <f aca="false">MAX(Drivers!$C$80,Drivers!$C$79*O44)</f>
        <v>0.824854731755993</v>
      </c>
      <c r="P50" s="24" t="n">
        <f aca="false">MAX(Drivers!$C$80,Drivers!$C$79*P44)</f>
        <v>0.821378757120874</v>
      </c>
      <c r="Q50" s="24" t="n">
        <f aca="false">MAX(Drivers!$C$80,Drivers!$C$79*Q44)</f>
        <v>0.817972301978456</v>
      </c>
      <c r="R50" s="24" t="n">
        <f aca="false">MAX(Drivers!$C$80,Drivers!$C$79*R44)</f>
        <v>0.814633975938887</v>
      </c>
      <c r="S50" s="24" t="n">
        <f aca="false">MAX(Drivers!$C$80,Drivers!$C$79*S44)</f>
        <v>0.811362416420109</v>
      </c>
      <c r="T50" s="24" t="n">
        <f aca="false">MAX(Drivers!$C$80,Drivers!$C$79*T44)</f>
        <v>0.808156288091707</v>
      </c>
      <c r="U50" s="24" t="n">
        <f aca="false">MAX(Drivers!$C$80,Drivers!$C$79*U44)</f>
        <v>0.805014282329873</v>
      </c>
    </row>
    <row r="51" customFormat="false" ht="15" hidden="false" customHeight="false" outlineLevel="0" collapsed="false">
      <c r="A51" s="9" t="s">
        <v>340</v>
      </c>
      <c r="B51" s="35" t="s">
        <v>326</v>
      </c>
      <c r="C51" s="24" t="n">
        <f aca="false">Drivers!$D$81</f>
        <v>0.75</v>
      </c>
      <c r="D51" s="24" t="n">
        <f aca="false">Drivers!$E$81</f>
        <v>0.62</v>
      </c>
      <c r="E51" s="24" t="n">
        <f aca="false">Drivers!$F$81</f>
        <v>0.55</v>
      </c>
      <c r="F51" s="24" t="n">
        <f aca="false">Drivers!$G$81</f>
        <v>0.5</v>
      </c>
      <c r="G51" s="24" t="n">
        <f aca="false">Drivers!$H$81</f>
        <v>0.48</v>
      </c>
      <c r="H51" s="24" t="n">
        <f aca="false">Drivers!$I$81</f>
        <v>0.46</v>
      </c>
      <c r="I51" s="24" t="n">
        <f aca="false">H51*1.02</f>
        <v>0.4692</v>
      </c>
      <c r="J51" s="24" t="n">
        <f aca="false">I51*1.02</f>
        <v>0.478584</v>
      </c>
      <c r="K51" s="24" t="n">
        <f aca="false">J51*1.02</f>
        <v>0.48815568</v>
      </c>
      <c r="L51" s="24" t="n">
        <f aca="false">K51*1.02</f>
        <v>0.4979187936</v>
      </c>
      <c r="M51" s="24" t="n">
        <f aca="false">L51*1.02</f>
        <v>0.507877169472</v>
      </c>
      <c r="N51" s="24" t="n">
        <f aca="false">M51*1.02</f>
        <v>0.51803471286144</v>
      </c>
      <c r="O51" s="24" t="n">
        <f aca="false">N51*1.02</f>
        <v>0.528395407118669</v>
      </c>
      <c r="P51" s="24" t="n">
        <f aca="false">O51*1.02</f>
        <v>0.538963315261042</v>
      </c>
      <c r="Q51" s="24" t="n">
        <f aca="false">P51*1.02</f>
        <v>0.549742581566263</v>
      </c>
      <c r="R51" s="24" t="n">
        <f aca="false">Q51*1.02</f>
        <v>0.560737433197588</v>
      </c>
      <c r="S51" s="24" t="n">
        <f aca="false">R51*1.02</f>
        <v>0.57195218186154</v>
      </c>
      <c r="T51" s="24" t="n">
        <f aca="false">S51*1.02</f>
        <v>0.583391225498771</v>
      </c>
      <c r="U51" s="24" t="n">
        <f aca="false">T51*1.02</f>
        <v>0.595059050008746</v>
      </c>
    </row>
    <row r="52" customFormat="false" ht="15" hidden="false" customHeight="false" outlineLevel="0" collapsed="false">
      <c r="A52" s="3" t="s">
        <v>341</v>
      </c>
      <c r="B52" s="35" t="s">
        <v>326</v>
      </c>
      <c r="C52" s="29" t="n">
        <f aca="false">C44*C45-C49-C50-C51</f>
        <v>0.702334</v>
      </c>
      <c r="D52" s="29" t="n">
        <f aca="false">D44*D45-D49-D50-D51</f>
        <v>1.1743744</v>
      </c>
      <c r="E52" s="29" t="n">
        <f aca="false">E44*E45-E49-E50-E51</f>
        <v>1.7326688</v>
      </c>
      <c r="F52" s="29" t="n">
        <f aca="false">F44*F45-F49-F50-F51</f>
        <v>2.2704648</v>
      </c>
      <c r="G52" s="29" t="n">
        <f aca="false">G44*G45-G49-G50-G51</f>
        <v>2.778996</v>
      </c>
      <c r="H52" s="29" t="n">
        <f aca="false">H44*H45-H49-H50-H51</f>
        <v>3.199096</v>
      </c>
      <c r="I52" s="29" t="n">
        <f aca="false">I44*I45-I49-I50-I51</f>
        <v>3.325192</v>
      </c>
      <c r="J52" s="29" t="n">
        <f aca="false">J44*J45-J49-J50-J51</f>
        <v>3.29787008</v>
      </c>
      <c r="K52" s="29" t="n">
        <f aca="false">K44*K45-K49-K50-K51</f>
        <v>3.2707192384</v>
      </c>
      <c r="L52" s="29" t="n">
        <f aca="false">L44*L45-L49-L50-L51</f>
        <v>3.243728546432</v>
      </c>
      <c r="M52" s="29" t="n">
        <f aca="false">M44*M45-M49-M50-M51</f>
        <v>3.21688714375936</v>
      </c>
      <c r="N52" s="29" t="n">
        <f aca="false">N44*N45-N49-N50-N51</f>
        <v>3.19018423410529</v>
      </c>
      <c r="O52" s="29" t="n">
        <f aca="false">O44*O45-O49-O50-O51</f>
        <v>3.16360908090873</v>
      </c>
      <c r="P52" s="29" t="n">
        <f aca="false">P44*P45-P49-P50-P51</f>
        <v>3.13715100300581</v>
      </c>
      <c r="Q52" s="29" t="n">
        <f aca="false">Q44*Q45-Q49-Q50-Q51</f>
        <v>3.11079937033525</v>
      </c>
      <c r="R52" s="29" t="n">
        <f aca="false">R44*R45-R49-R50-R51</f>
        <v>3.0845435996659</v>
      </c>
      <c r="S52" s="29" t="n">
        <f aca="false">S44*S45-S49-S50-S51</f>
        <v>3.05837315034467</v>
      </c>
      <c r="T52" s="29" t="n">
        <f aca="false">T44*T45-T49-T50-T51</f>
        <v>3.03227752006332</v>
      </c>
      <c r="U52" s="29" t="n">
        <f aca="false">U44*U45-U49-U50-U51</f>
        <v>3.0062462406421</v>
      </c>
    </row>
    <row r="53" customFormat="false" ht="15" hidden="false" customHeight="false" outlineLevel="0" collapsed="false">
      <c r="A53" s="3" t="s">
        <v>342</v>
      </c>
    </row>
    <row r="54" customFormat="false" ht="15" hidden="false" customHeight="false" outlineLevel="0" collapsed="false">
      <c r="A54" s="9" t="s">
        <v>343</v>
      </c>
      <c r="B54" s="35" t="s">
        <v>326</v>
      </c>
      <c r="C54" s="24" t="n">
        <f aca="false">$D$24*$C$15*IF((C$35-$C$24)&lt;0,0,IF((C$35-$C$24)&gt;=7,1,INDEX(Drivers!$D$86:$J$86,(C$35-$C$24)+1)))*IF((C$35-$C$24)&lt;Drivers!$C$87,1,Drivers!$C$88*Drivers!$C$89^((C$35-$C$24)-Drivers!$C$87))*$E$24</f>
        <v>0.7584</v>
      </c>
      <c r="D54" s="24" t="n">
        <f aca="false">$D$24*$C$15*IF((D$35-$C$24)&lt;0,0,IF((D$35-$C$24)&gt;=7,1,INDEX(Drivers!$D$86:$J$86,(D$35-$C$24)+1)))*IF((D$35-$C$24)&lt;Drivers!$C$87,1,Drivers!$C$88*Drivers!$C$89^((D$35-$C$24)-Drivers!$C$87))*$E$24</f>
        <v>2.37</v>
      </c>
      <c r="E54" s="24" t="n">
        <f aca="false">$D$24*$C$15*IF((E$35-$C$24)&lt;0,0,IF((E$35-$C$24)&gt;=7,1,INDEX(Drivers!$D$86:$J$86,(E$35-$C$24)+1)))*IF((E$35-$C$24)&lt;Drivers!$C$87,1,Drivers!$C$88*Drivers!$C$89^((E$35-$C$24)-Drivers!$C$87))*$E$24</f>
        <v>4.266</v>
      </c>
      <c r="F54" s="24" t="n">
        <f aca="false">$D$24*$C$15*IF((F$35-$C$24)&lt;0,0,IF((F$35-$C$24)&gt;=7,1,INDEX(Drivers!$D$86:$J$86,(F$35-$C$24)+1)))*IF((F$35-$C$24)&lt;Drivers!$C$87,1,Drivers!$C$88*Drivers!$C$89^((F$35-$C$24)-Drivers!$C$87))*$E$24</f>
        <v>6.162</v>
      </c>
      <c r="G54" s="24" t="n">
        <f aca="false">$D$24*$C$15*IF((G$35-$C$24)&lt;0,0,IF((G$35-$C$24)&gt;=7,1,INDEX(Drivers!$D$86:$J$86,(G$35-$C$24)+1)))*IF((G$35-$C$24)&lt;Drivers!$C$87,1,Drivers!$C$88*Drivers!$C$89^((G$35-$C$24)-Drivers!$C$87))*$E$24</f>
        <v>7.7736</v>
      </c>
      <c r="H54" s="24" t="n">
        <f aca="false">$D$24*$C$15*IF((H$35-$C$24)&lt;0,0,IF((H$35-$C$24)&gt;=7,1,INDEX(Drivers!$D$86:$J$86,(H$35-$C$24)+1)))*IF((H$35-$C$24)&lt;Drivers!$C$87,1,Drivers!$C$88*Drivers!$C$89^((H$35-$C$24)-Drivers!$C$87))*$E$24</f>
        <v>8.8164</v>
      </c>
      <c r="I54" s="24" t="n">
        <f aca="false">$D$24*$C$15*IF((I$35-$C$24)&lt;0,0,IF((I$35-$C$24)&gt;=7,1,INDEX(Drivers!$D$86:$J$86,(I$35-$C$24)+1)))*IF((I$35-$C$24)&lt;Drivers!$C$87,1,Drivers!$C$88*Drivers!$C$89^((I$35-$C$24)-Drivers!$C$87))*$E$24</f>
        <v>9.48</v>
      </c>
      <c r="J54" s="24" t="n">
        <f aca="false">$D$24*$C$15*IF((J$35-$C$24)&lt;0,0,IF((J$35-$C$24)&gt;=7,1,INDEX(Drivers!$D$86:$J$86,(J$35-$C$24)+1)))*IF((J$35-$C$24)&lt;Drivers!$C$87,1,Drivers!$C$88*Drivers!$C$89^((J$35-$C$24)-Drivers!$C$87))*$E$24</f>
        <v>9.48</v>
      </c>
      <c r="K54" s="24" t="n">
        <f aca="false">$D$24*$C$15*IF((K$35-$C$24)&lt;0,0,IF((K$35-$C$24)&gt;=7,1,INDEX(Drivers!$D$86:$J$86,(K$35-$C$24)+1)))*IF((K$35-$C$24)&lt;Drivers!$C$87,1,Drivers!$C$88*Drivers!$C$89^((K$35-$C$24)-Drivers!$C$87))*$E$24</f>
        <v>9.48</v>
      </c>
      <c r="L54" s="24" t="n">
        <f aca="false">$D$24*$C$15*IF((L$35-$C$24)&lt;0,0,IF((L$35-$C$24)&gt;=7,1,INDEX(Drivers!$D$86:$J$86,(L$35-$C$24)+1)))*IF((L$35-$C$24)&lt;Drivers!$C$87,1,Drivers!$C$88*Drivers!$C$89^((L$35-$C$24)-Drivers!$C$87))*$E$24</f>
        <v>9.48</v>
      </c>
      <c r="M54" s="24" t="n">
        <f aca="false">$D$24*$C$15*IF((M$35-$C$24)&lt;0,0,IF((M$35-$C$24)&gt;=7,1,INDEX(Drivers!$D$86:$J$86,(M$35-$C$24)+1)))*IF((M$35-$C$24)&lt;Drivers!$C$87,1,Drivers!$C$88*Drivers!$C$89^((M$35-$C$24)-Drivers!$C$87))*$E$24</f>
        <v>9.48</v>
      </c>
      <c r="N54" s="24" t="n">
        <f aca="false">$D$24*$C$15*IF((N$35-$C$24)&lt;0,0,IF((N$35-$C$24)&gt;=7,1,INDEX(Drivers!$D$86:$J$86,(N$35-$C$24)+1)))*IF((N$35-$C$24)&lt;Drivers!$C$87,1,Drivers!$C$88*Drivers!$C$89^((N$35-$C$24)-Drivers!$C$87))*$E$24</f>
        <v>9.48</v>
      </c>
      <c r="O54" s="24" t="n">
        <f aca="false">$D$24*$C$15*IF((O$35-$C$24)&lt;0,0,IF((O$35-$C$24)&gt;=7,1,INDEX(Drivers!$D$86:$J$86,(O$35-$C$24)+1)))*IF((O$35-$C$24)&lt;Drivers!$C$87,1,Drivers!$C$88*Drivers!$C$89^((O$35-$C$24)-Drivers!$C$87))*$E$24</f>
        <v>7.584</v>
      </c>
      <c r="P54" s="24" t="n">
        <f aca="false">$D$24*$C$15*IF((P$35-$C$24)&lt;0,0,IF((P$35-$C$24)&gt;=7,1,INDEX(Drivers!$D$86:$J$86,(P$35-$C$24)+1)))*IF((P$35-$C$24)&lt;Drivers!$C$87,1,Drivers!$C$88*Drivers!$C$89^((P$35-$C$24)-Drivers!$C$87))*$E$24</f>
        <v>7.35648</v>
      </c>
      <c r="Q54" s="24" t="n">
        <f aca="false">$D$24*$C$15*IF((Q$35-$C$24)&lt;0,0,IF((Q$35-$C$24)&gt;=7,1,INDEX(Drivers!$D$86:$J$86,(Q$35-$C$24)+1)))*IF((Q$35-$C$24)&lt;Drivers!$C$87,1,Drivers!$C$88*Drivers!$C$89^((Q$35-$C$24)-Drivers!$C$87))*$E$24</f>
        <v>7.1357856</v>
      </c>
      <c r="R54" s="24" t="n">
        <f aca="false">$D$24*$C$15*IF((R$35-$C$24)&lt;0,0,IF((R$35-$C$24)&gt;=7,1,INDEX(Drivers!$D$86:$J$86,(R$35-$C$24)+1)))*IF((R$35-$C$24)&lt;Drivers!$C$87,1,Drivers!$C$88*Drivers!$C$89^((R$35-$C$24)-Drivers!$C$87))*$E$24</f>
        <v>6.921712032</v>
      </c>
      <c r="S54" s="24" t="n">
        <f aca="false">$D$24*$C$15*IF((S$35-$C$24)&lt;0,0,IF((S$35-$C$24)&gt;=7,1,INDEX(Drivers!$D$86:$J$86,(S$35-$C$24)+1)))*IF((S$35-$C$24)&lt;Drivers!$C$87,1,Drivers!$C$88*Drivers!$C$89^((S$35-$C$24)-Drivers!$C$87))*$E$24</f>
        <v>6.71406067104</v>
      </c>
      <c r="T54" s="24" t="n">
        <f aca="false">$D$24*$C$15*IF((T$35-$C$24)&lt;0,0,IF((T$35-$C$24)&gt;=7,1,INDEX(Drivers!$D$86:$J$86,(T$35-$C$24)+1)))*IF((T$35-$C$24)&lt;Drivers!$C$87,1,Drivers!$C$88*Drivers!$C$89^((T$35-$C$24)-Drivers!$C$87))*$E$24</f>
        <v>6.5126388509088</v>
      </c>
      <c r="U54" s="24" t="n">
        <f aca="false">$D$24*$C$15*IF((U$35-$C$24)&lt;0,0,IF((U$35-$C$24)&gt;=7,1,INDEX(Drivers!$D$86:$J$86,(U$35-$C$24)+1)))*IF((U$35-$C$24)&lt;Drivers!$C$87,1,Drivers!$C$88*Drivers!$C$89^((U$35-$C$24)-Drivers!$C$87))*$E$24</f>
        <v>6.31725968538154</v>
      </c>
    </row>
    <row r="55" customFormat="false" ht="15" hidden="false" customHeight="false" outlineLevel="0" collapsed="false">
      <c r="A55" s="9" t="s">
        <v>344</v>
      </c>
      <c r="B55" s="35" t="s">
        <v>326</v>
      </c>
      <c r="C55" s="24" t="n">
        <f aca="false">$D$25*$C$15*IF((C$35-$C$25)&lt;0,0,IF((C$35-$C$25)&gt;=7,1,INDEX(Drivers!$D$86:$J$86,(C$35-$C$25)+1)))*IF((C$35-$C$25)&lt;Drivers!$C$87,1,Drivers!$C$88*Drivers!$C$89^((C$35-$C$25)-Drivers!$C$87))*$E$25</f>
        <v>0</v>
      </c>
      <c r="D55" s="24" t="n">
        <f aca="false">$D$25*$C$15*IF((D$35-$C$25)&lt;0,0,IF((D$35-$C$25)&gt;=7,1,INDEX(Drivers!$D$86:$J$86,(D$35-$C$25)+1)))*IF((D$35-$C$25)&lt;Drivers!$C$87,1,Drivers!$C$88*Drivers!$C$89^((D$35-$C$25)-Drivers!$C$87))*$E$25</f>
        <v>0</v>
      </c>
      <c r="E55" s="24" t="n">
        <f aca="false">$D$25*$C$15*IF((E$35-$C$25)&lt;0,0,IF((E$35-$C$25)&gt;=7,1,INDEX(Drivers!$D$86:$J$86,(E$35-$C$25)+1)))*IF((E$35-$C$25)&lt;Drivers!$C$87,1,Drivers!$C$88*Drivers!$C$89^((E$35-$C$25)-Drivers!$C$87))*$E$25</f>
        <v>0</v>
      </c>
      <c r="F55" s="24" t="n">
        <f aca="false">$D$25*$C$15*IF((F$35-$C$25)&lt;0,0,IF((F$35-$C$25)&gt;=7,1,INDEX(Drivers!$D$86:$J$86,(F$35-$C$25)+1)))*IF((F$35-$C$25)&lt;Drivers!$C$87,1,Drivers!$C$88*Drivers!$C$89^((F$35-$C$25)-Drivers!$C$87))*$E$25</f>
        <v>0</v>
      </c>
      <c r="G55" s="24" t="n">
        <f aca="false">$D$25*$C$15*IF((G$35-$C$25)&lt;0,0,IF((G$35-$C$25)&gt;=7,1,INDEX(Drivers!$D$86:$J$86,(G$35-$C$25)+1)))*IF((G$35-$C$25)&lt;Drivers!$C$87,1,Drivers!$C$88*Drivers!$C$89^((G$35-$C$25)-Drivers!$C$87))*$E$25</f>
        <v>0.7584</v>
      </c>
      <c r="H55" s="24" t="n">
        <f aca="false">$D$25*$C$15*IF((H$35-$C$25)&lt;0,0,IF((H$35-$C$25)&gt;=7,1,INDEX(Drivers!$D$86:$J$86,(H$35-$C$25)+1)))*IF((H$35-$C$25)&lt;Drivers!$C$87,1,Drivers!$C$88*Drivers!$C$89^((H$35-$C$25)-Drivers!$C$87))*$E$25</f>
        <v>2.37</v>
      </c>
      <c r="I55" s="24" t="n">
        <f aca="false">$D$25*$C$15*IF((I$35-$C$25)&lt;0,0,IF((I$35-$C$25)&gt;=7,1,INDEX(Drivers!$D$86:$J$86,(I$35-$C$25)+1)))*IF((I$35-$C$25)&lt;Drivers!$C$87,1,Drivers!$C$88*Drivers!$C$89^((I$35-$C$25)-Drivers!$C$87))*$E$25</f>
        <v>4.266</v>
      </c>
      <c r="J55" s="24" t="n">
        <f aca="false">$D$25*$C$15*IF((J$35-$C$25)&lt;0,0,IF((J$35-$C$25)&gt;=7,1,INDEX(Drivers!$D$86:$J$86,(J$35-$C$25)+1)))*IF((J$35-$C$25)&lt;Drivers!$C$87,1,Drivers!$C$88*Drivers!$C$89^((J$35-$C$25)-Drivers!$C$87))*$E$25</f>
        <v>6.162</v>
      </c>
      <c r="K55" s="24" t="n">
        <f aca="false">$D$25*$C$15*IF((K$35-$C$25)&lt;0,0,IF((K$35-$C$25)&gt;=7,1,INDEX(Drivers!$D$86:$J$86,(K$35-$C$25)+1)))*IF((K$35-$C$25)&lt;Drivers!$C$87,1,Drivers!$C$88*Drivers!$C$89^((K$35-$C$25)-Drivers!$C$87))*$E$25</f>
        <v>7.7736</v>
      </c>
      <c r="L55" s="24" t="n">
        <f aca="false">$D$25*$C$15*IF((L$35-$C$25)&lt;0,0,IF((L$35-$C$25)&gt;=7,1,INDEX(Drivers!$D$86:$J$86,(L$35-$C$25)+1)))*IF((L$35-$C$25)&lt;Drivers!$C$87,1,Drivers!$C$88*Drivers!$C$89^((L$35-$C$25)-Drivers!$C$87))*$E$25</f>
        <v>8.8164</v>
      </c>
      <c r="M55" s="24" t="n">
        <f aca="false">$D$25*$C$15*IF((M$35-$C$25)&lt;0,0,IF((M$35-$C$25)&gt;=7,1,INDEX(Drivers!$D$86:$J$86,(M$35-$C$25)+1)))*IF((M$35-$C$25)&lt;Drivers!$C$87,1,Drivers!$C$88*Drivers!$C$89^((M$35-$C$25)-Drivers!$C$87))*$E$25</f>
        <v>9.48</v>
      </c>
      <c r="N55" s="24" t="n">
        <f aca="false">$D$25*$C$15*IF((N$35-$C$25)&lt;0,0,IF((N$35-$C$25)&gt;=7,1,INDEX(Drivers!$D$86:$J$86,(N$35-$C$25)+1)))*IF((N$35-$C$25)&lt;Drivers!$C$87,1,Drivers!$C$88*Drivers!$C$89^((N$35-$C$25)-Drivers!$C$87))*$E$25</f>
        <v>9.48</v>
      </c>
      <c r="O55" s="24" t="n">
        <f aca="false">$D$25*$C$15*IF((O$35-$C$25)&lt;0,0,IF((O$35-$C$25)&gt;=7,1,INDEX(Drivers!$D$86:$J$86,(O$35-$C$25)+1)))*IF((O$35-$C$25)&lt;Drivers!$C$87,1,Drivers!$C$88*Drivers!$C$89^((O$35-$C$25)-Drivers!$C$87))*$E$25</f>
        <v>9.48</v>
      </c>
      <c r="P55" s="24" t="n">
        <f aca="false">$D$25*$C$15*IF((P$35-$C$25)&lt;0,0,IF((P$35-$C$25)&gt;=7,1,INDEX(Drivers!$D$86:$J$86,(P$35-$C$25)+1)))*IF((P$35-$C$25)&lt;Drivers!$C$87,1,Drivers!$C$88*Drivers!$C$89^((P$35-$C$25)-Drivers!$C$87))*$E$25</f>
        <v>9.48</v>
      </c>
      <c r="Q55" s="24" t="n">
        <f aca="false">$D$25*$C$15*IF((Q$35-$C$25)&lt;0,0,IF((Q$35-$C$25)&gt;=7,1,INDEX(Drivers!$D$86:$J$86,(Q$35-$C$25)+1)))*IF((Q$35-$C$25)&lt;Drivers!$C$87,1,Drivers!$C$88*Drivers!$C$89^((Q$35-$C$25)-Drivers!$C$87))*$E$25</f>
        <v>9.48</v>
      </c>
      <c r="R55" s="24" t="n">
        <f aca="false">$D$25*$C$15*IF((R$35-$C$25)&lt;0,0,IF((R$35-$C$25)&gt;=7,1,INDEX(Drivers!$D$86:$J$86,(R$35-$C$25)+1)))*IF((R$35-$C$25)&lt;Drivers!$C$87,1,Drivers!$C$88*Drivers!$C$89^((R$35-$C$25)-Drivers!$C$87))*$E$25</f>
        <v>9.48</v>
      </c>
      <c r="S55" s="24" t="n">
        <f aca="false">$D$25*$C$15*IF((S$35-$C$25)&lt;0,0,IF((S$35-$C$25)&gt;=7,1,INDEX(Drivers!$D$86:$J$86,(S$35-$C$25)+1)))*IF((S$35-$C$25)&lt;Drivers!$C$87,1,Drivers!$C$88*Drivers!$C$89^((S$35-$C$25)-Drivers!$C$87))*$E$25</f>
        <v>7.584</v>
      </c>
      <c r="T55" s="24" t="n">
        <f aca="false">$D$25*$C$15*IF((T$35-$C$25)&lt;0,0,IF((T$35-$C$25)&gt;=7,1,INDEX(Drivers!$D$86:$J$86,(T$35-$C$25)+1)))*IF((T$35-$C$25)&lt;Drivers!$C$87,1,Drivers!$C$88*Drivers!$C$89^((T$35-$C$25)-Drivers!$C$87))*$E$25</f>
        <v>7.35648</v>
      </c>
      <c r="U55" s="24" t="n">
        <f aca="false">$D$25*$C$15*IF((U$35-$C$25)&lt;0,0,IF((U$35-$C$25)&gt;=7,1,INDEX(Drivers!$D$86:$J$86,(U$35-$C$25)+1)))*IF((U$35-$C$25)&lt;Drivers!$C$87,1,Drivers!$C$88*Drivers!$C$89^((U$35-$C$25)-Drivers!$C$87))*$E$25</f>
        <v>7.1357856</v>
      </c>
    </row>
    <row r="56" customFormat="false" ht="15" hidden="false" customHeight="false" outlineLevel="0" collapsed="false">
      <c r="A56" s="9" t="s">
        <v>345</v>
      </c>
      <c r="B56" s="35" t="s">
        <v>326</v>
      </c>
      <c r="C56" s="24" t="n">
        <f aca="false">$D$26*$C$15*IF((C$35-$C$26)&lt;0,0,IF((C$35-$C$26)&gt;=7,1,INDEX(Drivers!$D$86:$J$86,(C$35-$C$26)+1)))*IF((C$35-$C$26)&lt;Drivers!$C$87,1,Drivers!$C$88*Drivers!$C$89^((C$35-$C$26)-Drivers!$C$87))*$E$26</f>
        <v>0</v>
      </c>
      <c r="D56" s="24" t="n">
        <f aca="false">$D$26*$C$15*IF((D$35-$C$26)&lt;0,0,IF((D$35-$C$26)&gt;=7,1,INDEX(Drivers!$D$86:$J$86,(D$35-$C$26)+1)))*IF((D$35-$C$26)&lt;Drivers!$C$87,1,Drivers!$C$88*Drivers!$C$89^((D$35-$C$26)-Drivers!$C$87))*$E$26</f>
        <v>0</v>
      </c>
      <c r="E56" s="24" t="n">
        <f aca="false">$D$26*$C$15*IF((E$35-$C$26)&lt;0,0,IF((E$35-$C$26)&gt;=7,1,INDEX(Drivers!$D$86:$J$86,(E$35-$C$26)+1)))*IF((E$35-$C$26)&lt;Drivers!$C$87,1,Drivers!$C$88*Drivers!$C$89^((E$35-$C$26)-Drivers!$C$87))*$E$26</f>
        <v>0</v>
      </c>
      <c r="F56" s="24" t="n">
        <f aca="false">$D$26*$C$15*IF((F$35-$C$26)&lt;0,0,IF((F$35-$C$26)&gt;=7,1,INDEX(Drivers!$D$86:$J$86,(F$35-$C$26)+1)))*IF((F$35-$C$26)&lt;Drivers!$C$87,1,Drivers!$C$88*Drivers!$C$89^((F$35-$C$26)-Drivers!$C$87))*$E$26</f>
        <v>0</v>
      </c>
      <c r="G56" s="24" t="n">
        <f aca="false">$D$26*$C$15*IF((G$35-$C$26)&lt;0,0,IF((G$35-$C$26)&gt;=7,1,INDEX(Drivers!$D$86:$J$86,(G$35-$C$26)+1)))*IF((G$35-$C$26)&lt;Drivers!$C$87,1,Drivers!$C$88*Drivers!$C$89^((G$35-$C$26)-Drivers!$C$87))*$E$26</f>
        <v>0</v>
      </c>
      <c r="H56" s="24" t="n">
        <f aca="false">$D$26*$C$15*IF((H$35-$C$26)&lt;0,0,IF((H$35-$C$26)&gt;=7,1,INDEX(Drivers!$D$86:$J$86,(H$35-$C$26)+1)))*IF((H$35-$C$26)&lt;Drivers!$C$87,1,Drivers!$C$88*Drivers!$C$89^((H$35-$C$26)-Drivers!$C$87))*$E$26</f>
        <v>0</v>
      </c>
      <c r="I56" s="24" t="n">
        <f aca="false">$D$26*$C$15*IF((I$35-$C$26)&lt;0,0,IF((I$35-$C$26)&gt;=7,1,INDEX(Drivers!$D$86:$J$86,(I$35-$C$26)+1)))*IF((I$35-$C$26)&lt;Drivers!$C$87,1,Drivers!$C$88*Drivers!$C$89^((I$35-$C$26)-Drivers!$C$87))*$E$26</f>
        <v>0</v>
      </c>
      <c r="J56" s="24" t="n">
        <f aca="false">$D$26*$C$15*IF((J$35-$C$26)&lt;0,0,IF((J$35-$C$26)&gt;=7,1,INDEX(Drivers!$D$86:$J$86,(J$35-$C$26)+1)))*IF((J$35-$C$26)&lt;Drivers!$C$87,1,Drivers!$C$88*Drivers!$C$89^((J$35-$C$26)-Drivers!$C$87))*$E$26</f>
        <v>0.2844</v>
      </c>
      <c r="K56" s="24" t="n">
        <f aca="false">$D$26*$C$15*IF((K$35-$C$26)&lt;0,0,IF((K$35-$C$26)&gt;=7,1,INDEX(Drivers!$D$86:$J$86,(K$35-$C$26)+1)))*IF((K$35-$C$26)&lt;Drivers!$C$87,1,Drivers!$C$88*Drivers!$C$89^((K$35-$C$26)-Drivers!$C$87))*$E$26</f>
        <v>0.88875</v>
      </c>
      <c r="L56" s="24" t="n">
        <f aca="false">$D$26*$C$15*IF((L$35-$C$26)&lt;0,0,IF((L$35-$C$26)&gt;=7,1,INDEX(Drivers!$D$86:$J$86,(L$35-$C$26)+1)))*IF((L$35-$C$26)&lt;Drivers!$C$87,1,Drivers!$C$88*Drivers!$C$89^((L$35-$C$26)-Drivers!$C$87))*$E$26</f>
        <v>1.59975</v>
      </c>
      <c r="M56" s="24" t="n">
        <f aca="false">$D$26*$C$15*IF((M$35-$C$26)&lt;0,0,IF((M$35-$C$26)&gt;=7,1,INDEX(Drivers!$D$86:$J$86,(M$35-$C$26)+1)))*IF((M$35-$C$26)&lt;Drivers!$C$87,1,Drivers!$C$88*Drivers!$C$89^((M$35-$C$26)-Drivers!$C$87))*$E$26</f>
        <v>2.31075</v>
      </c>
      <c r="N56" s="24" t="n">
        <f aca="false">$D$26*$C$15*IF((N$35-$C$26)&lt;0,0,IF((N$35-$C$26)&gt;=7,1,INDEX(Drivers!$D$86:$J$86,(N$35-$C$26)+1)))*IF((N$35-$C$26)&lt;Drivers!$C$87,1,Drivers!$C$88*Drivers!$C$89^((N$35-$C$26)-Drivers!$C$87))*$E$26</f>
        <v>2.9151</v>
      </c>
      <c r="O56" s="24" t="n">
        <f aca="false">$D$26*$C$15*IF((O$35-$C$26)&lt;0,0,IF((O$35-$C$26)&gt;=7,1,INDEX(Drivers!$D$86:$J$86,(O$35-$C$26)+1)))*IF((O$35-$C$26)&lt;Drivers!$C$87,1,Drivers!$C$88*Drivers!$C$89^((O$35-$C$26)-Drivers!$C$87))*$E$26</f>
        <v>3.30615</v>
      </c>
      <c r="P56" s="24" t="n">
        <f aca="false">$D$26*$C$15*IF((P$35-$C$26)&lt;0,0,IF((P$35-$C$26)&gt;=7,1,INDEX(Drivers!$D$86:$J$86,(P$35-$C$26)+1)))*IF((P$35-$C$26)&lt;Drivers!$C$87,1,Drivers!$C$88*Drivers!$C$89^((P$35-$C$26)-Drivers!$C$87))*$E$26</f>
        <v>3.555</v>
      </c>
      <c r="Q56" s="24" t="n">
        <f aca="false">$D$26*$C$15*IF((Q$35-$C$26)&lt;0,0,IF((Q$35-$C$26)&gt;=7,1,INDEX(Drivers!$D$86:$J$86,(Q$35-$C$26)+1)))*IF((Q$35-$C$26)&lt;Drivers!$C$87,1,Drivers!$C$88*Drivers!$C$89^((Q$35-$C$26)-Drivers!$C$87))*$E$26</f>
        <v>3.555</v>
      </c>
      <c r="R56" s="24" t="n">
        <f aca="false">$D$26*$C$15*IF((R$35-$C$26)&lt;0,0,IF((R$35-$C$26)&gt;=7,1,INDEX(Drivers!$D$86:$J$86,(R$35-$C$26)+1)))*IF((R$35-$C$26)&lt;Drivers!$C$87,1,Drivers!$C$88*Drivers!$C$89^((R$35-$C$26)-Drivers!$C$87))*$E$26</f>
        <v>3.555</v>
      </c>
      <c r="S56" s="24" t="n">
        <f aca="false">$D$26*$C$15*IF((S$35-$C$26)&lt;0,0,IF((S$35-$C$26)&gt;=7,1,INDEX(Drivers!$D$86:$J$86,(S$35-$C$26)+1)))*IF((S$35-$C$26)&lt;Drivers!$C$87,1,Drivers!$C$88*Drivers!$C$89^((S$35-$C$26)-Drivers!$C$87))*$E$26</f>
        <v>3.555</v>
      </c>
      <c r="T56" s="24" t="n">
        <f aca="false">$D$26*$C$15*IF((T$35-$C$26)&lt;0,0,IF((T$35-$C$26)&gt;=7,1,INDEX(Drivers!$D$86:$J$86,(T$35-$C$26)+1)))*IF((T$35-$C$26)&lt;Drivers!$C$87,1,Drivers!$C$88*Drivers!$C$89^((T$35-$C$26)-Drivers!$C$87))*$E$26</f>
        <v>3.555</v>
      </c>
      <c r="U56" s="24" t="n">
        <f aca="false">$D$26*$C$15*IF((U$35-$C$26)&lt;0,0,IF((U$35-$C$26)&gt;=7,1,INDEX(Drivers!$D$86:$J$86,(U$35-$C$26)+1)))*IF((U$35-$C$26)&lt;Drivers!$C$87,1,Drivers!$C$88*Drivers!$C$89^((U$35-$C$26)-Drivers!$C$87))*$E$26</f>
        <v>3.555</v>
      </c>
    </row>
    <row r="57" customFormat="false" ht="15" hidden="false" customHeight="false" outlineLevel="0" collapsed="false">
      <c r="A57" s="9" t="s">
        <v>346</v>
      </c>
      <c r="B57" s="35" t="s">
        <v>326</v>
      </c>
      <c r="C57" s="24" t="n">
        <f aca="false">$D$27*$C$15*IF((C$35-$C$27)&lt;0,0,IF((C$35-$C$27)&gt;=7,1,INDEX(Drivers!$D$86:$J$86,(C$35-$C$27)+1)))*IF((C$35-$C$27)&lt;Drivers!$C$87,1,Drivers!$C$88*Drivers!$C$89^((C$35-$C$27)-Drivers!$C$87))*$E$27</f>
        <v>0</v>
      </c>
      <c r="D57" s="24" t="n">
        <f aca="false">$D$27*$C$15*IF((D$35-$C$27)&lt;0,0,IF((D$35-$C$27)&gt;=7,1,INDEX(Drivers!$D$86:$J$86,(D$35-$C$27)+1)))*IF((D$35-$C$27)&lt;Drivers!$C$87,1,Drivers!$C$88*Drivers!$C$89^((D$35-$C$27)-Drivers!$C$87))*$E$27</f>
        <v>0</v>
      </c>
      <c r="E57" s="24" t="n">
        <f aca="false">$D$27*$C$15*IF((E$35-$C$27)&lt;0,0,IF((E$35-$C$27)&gt;=7,1,INDEX(Drivers!$D$86:$J$86,(E$35-$C$27)+1)))*IF((E$35-$C$27)&lt;Drivers!$C$87,1,Drivers!$C$88*Drivers!$C$89^((E$35-$C$27)-Drivers!$C$87))*$E$27</f>
        <v>0</v>
      </c>
      <c r="F57" s="24" t="n">
        <f aca="false">$D$27*$C$15*IF((F$35-$C$27)&lt;0,0,IF((F$35-$C$27)&gt;=7,1,INDEX(Drivers!$D$86:$J$86,(F$35-$C$27)+1)))*IF((F$35-$C$27)&lt;Drivers!$C$87,1,Drivers!$C$88*Drivers!$C$89^((F$35-$C$27)-Drivers!$C$87))*$E$27</f>
        <v>0</v>
      </c>
      <c r="G57" s="24" t="n">
        <f aca="false">$D$27*$C$15*IF((G$35-$C$27)&lt;0,0,IF((G$35-$C$27)&gt;=7,1,INDEX(Drivers!$D$86:$J$86,(G$35-$C$27)+1)))*IF((G$35-$C$27)&lt;Drivers!$C$87,1,Drivers!$C$88*Drivers!$C$89^((G$35-$C$27)-Drivers!$C$87))*$E$27</f>
        <v>0</v>
      </c>
      <c r="H57" s="24" t="n">
        <f aca="false">$D$27*$C$15*IF((H$35-$C$27)&lt;0,0,IF((H$35-$C$27)&gt;=7,1,INDEX(Drivers!$D$86:$J$86,(H$35-$C$27)+1)))*IF((H$35-$C$27)&lt;Drivers!$C$87,1,Drivers!$C$88*Drivers!$C$89^((H$35-$C$27)-Drivers!$C$87))*$E$27</f>
        <v>0</v>
      </c>
      <c r="I57" s="24" t="n">
        <f aca="false">$D$27*$C$15*IF((I$35-$C$27)&lt;0,0,IF((I$35-$C$27)&gt;=7,1,INDEX(Drivers!$D$86:$J$86,(I$35-$C$27)+1)))*IF((I$35-$C$27)&lt;Drivers!$C$87,1,Drivers!$C$88*Drivers!$C$89^((I$35-$C$27)-Drivers!$C$87))*$E$27</f>
        <v>0</v>
      </c>
      <c r="J57" s="24" t="n">
        <f aca="false">$D$27*$C$15*IF((J$35-$C$27)&lt;0,0,IF((J$35-$C$27)&gt;=7,1,INDEX(Drivers!$D$86:$J$86,(J$35-$C$27)+1)))*IF((J$35-$C$27)&lt;Drivers!$C$87,1,Drivers!$C$88*Drivers!$C$89^((J$35-$C$27)-Drivers!$C$87))*$E$27</f>
        <v>0</v>
      </c>
      <c r="K57" s="24" t="n">
        <f aca="false">$D$27*$C$15*IF((K$35-$C$27)&lt;0,0,IF((K$35-$C$27)&gt;=7,1,INDEX(Drivers!$D$86:$J$86,(K$35-$C$27)+1)))*IF((K$35-$C$27)&lt;Drivers!$C$87,1,Drivers!$C$88*Drivers!$C$89^((K$35-$C$27)-Drivers!$C$87))*$E$27</f>
        <v>0.474</v>
      </c>
      <c r="L57" s="24" t="n">
        <f aca="false">$D$27*$C$15*IF((L$35-$C$27)&lt;0,0,IF((L$35-$C$27)&gt;=7,1,INDEX(Drivers!$D$86:$J$86,(L$35-$C$27)+1)))*IF((L$35-$C$27)&lt;Drivers!$C$87,1,Drivers!$C$88*Drivers!$C$89^((L$35-$C$27)-Drivers!$C$87))*$E$27</f>
        <v>1.48125</v>
      </c>
      <c r="M57" s="24" t="n">
        <f aca="false">$D$27*$C$15*IF((M$35-$C$27)&lt;0,0,IF((M$35-$C$27)&gt;=7,1,INDEX(Drivers!$D$86:$J$86,(M$35-$C$27)+1)))*IF((M$35-$C$27)&lt;Drivers!$C$87,1,Drivers!$C$88*Drivers!$C$89^((M$35-$C$27)-Drivers!$C$87))*$E$27</f>
        <v>2.66625</v>
      </c>
      <c r="N57" s="24" t="n">
        <f aca="false">$D$27*$C$15*IF((N$35-$C$27)&lt;0,0,IF((N$35-$C$27)&gt;=7,1,INDEX(Drivers!$D$86:$J$86,(N$35-$C$27)+1)))*IF((N$35-$C$27)&lt;Drivers!$C$87,1,Drivers!$C$88*Drivers!$C$89^((N$35-$C$27)-Drivers!$C$87))*$E$27</f>
        <v>3.85125</v>
      </c>
      <c r="O57" s="24" t="n">
        <f aca="false">$D$27*$C$15*IF((O$35-$C$27)&lt;0,0,IF((O$35-$C$27)&gt;=7,1,INDEX(Drivers!$D$86:$J$86,(O$35-$C$27)+1)))*IF((O$35-$C$27)&lt;Drivers!$C$87,1,Drivers!$C$88*Drivers!$C$89^((O$35-$C$27)-Drivers!$C$87))*$E$27</f>
        <v>4.8585</v>
      </c>
      <c r="P57" s="24" t="n">
        <f aca="false">$D$27*$C$15*IF((P$35-$C$27)&lt;0,0,IF((P$35-$C$27)&gt;=7,1,INDEX(Drivers!$D$86:$J$86,(P$35-$C$27)+1)))*IF((P$35-$C$27)&lt;Drivers!$C$87,1,Drivers!$C$88*Drivers!$C$89^((P$35-$C$27)-Drivers!$C$87))*$E$27</f>
        <v>5.51025</v>
      </c>
      <c r="Q57" s="24" t="n">
        <f aca="false">$D$27*$C$15*IF((Q$35-$C$27)&lt;0,0,IF((Q$35-$C$27)&gt;=7,1,INDEX(Drivers!$D$86:$J$86,(Q$35-$C$27)+1)))*IF((Q$35-$C$27)&lt;Drivers!$C$87,1,Drivers!$C$88*Drivers!$C$89^((Q$35-$C$27)-Drivers!$C$87))*$E$27</f>
        <v>5.925</v>
      </c>
      <c r="R57" s="24" t="n">
        <f aca="false">$D$27*$C$15*IF((R$35-$C$27)&lt;0,0,IF((R$35-$C$27)&gt;=7,1,INDEX(Drivers!$D$86:$J$86,(R$35-$C$27)+1)))*IF((R$35-$C$27)&lt;Drivers!$C$87,1,Drivers!$C$88*Drivers!$C$89^((R$35-$C$27)-Drivers!$C$87))*$E$27</f>
        <v>5.925</v>
      </c>
      <c r="S57" s="24" t="n">
        <f aca="false">$D$27*$C$15*IF((S$35-$C$27)&lt;0,0,IF((S$35-$C$27)&gt;=7,1,INDEX(Drivers!$D$86:$J$86,(S$35-$C$27)+1)))*IF((S$35-$C$27)&lt;Drivers!$C$87,1,Drivers!$C$88*Drivers!$C$89^((S$35-$C$27)-Drivers!$C$87))*$E$27</f>
        <v>5.925</v>
      </c>
      <c r="T57" s="24" t="n">
        <f aca="false">$D$27*$C$15*IF((T$35-$C$27)&lt;0,0,IF((T$35-$C$27)&gt;=7,1,INDEX(Drivers!$D$86:$J$86,(T$35-$C$27)+1)))*IF((T$35-$C$27)&lt;Drivers!$C$87,1,Drivers!$C$88*Drivers!$C$89^((T$35-$C$27)-Drivers!$C$87))*$E$27</f>
        <v>5.925</v>
      </c>
      <c r="U57" s="24" t="n">
        <f aca="false">$D$27*$C$15*IF((U$35-$C$27)&lt;0,0,IF((U$35-$C$27)&gt;=7,1,INDEX(Drivers!$D$86:$J$86,(U$35-$C$27)+1)))*IF((U$35-$C$27)&lt;Drivers!$C$87,1,Drivers!$C$88*Drivers!$C$89^((U$35-$C$27)-Drivers!$C$87))*$E$27</f>
        <v>5.925</v>
      </c>
    </row>
    <row r="58" customFormat="false" ht="15" hidden="false" customHeight="false" outlineLevel="0" collapsed="false">
      <c r="A58" s="9" t="s">
        <v>347</v>
      </c>
      <c r="B58" s="35" t="s">
        <v>326</v>
      </c>
      <c r="C58" s="24" t="n">
        <f aca="false">$D$28*$C$15*IF((C$35-$C$28)&lt;0,0,IF((C$35-$C$28)&gt;=7,1,INDEX(Drivers!$D$86:$J$86,(C$35-$C$28)+1)))*IF((C$35-$C$28)&lt;Drivers!$C$87,1,Drivers!$C$88*Drivers!$C$89^((C$35-$C$28)-Drivers!$C$87))*$E$28</f>
        <v>0</v>
      </c>
      <c r="D58" s="24" t="n">
        <f aca="false">$D$28*$C$15*IF((D$35-$C$28)&lt;0,0,IF((D$35-$C$28)&gt;=7,1,INDEX(Drivers!$D$86:$J$86,(D$35-$C$28)+1)))*IF((D$35-$C$28)&lt;Drivers!$C$87,1,Drivers!$C$88*Drivers!$C$89^((D$35-$C$28)-Drivers!$C$87))*$E$28</f>
        <v>0</v>
      </c>
      <c r="E58" s="24" t="n">
        <f aca="false">$D$28*$C$15*IF((E$35-$C$28)&lt;0,0,IF((E$35-$C$28)&gt;=7,1,INDEX(Drivers!$D$86:$J$86,(E$35-$C$28)+1)))*IF((E$35-$C$28)&lt;Drivers!$C$87,1,Drivers!$C$88*Drivers!$C$89^((E$35-$C$28)-Drivers!$C$87))*$E$28</f>
        <v>0</v>
      </c>
      <c r="F58" s="24" t="n">
        <f aca="false">$D$28*$C$15*IF((F$35-$C$28)&lt;0,0,IF((F$35-$C$28)&gt;=7,1,INDEX(Drivers!$D$86:$J$86,(F$35-$C$28)+1)))*IF((F$35-$C$28)&lt;Drivers!$C$87,1,Drivers!$C$88*Drivers!$C$89^((F$35-$C$28)-Drivers!$C$87))*$E$28</f>
        <v>0</v>
      </c>
      <c r="G58" s="24" t="n">
        <f aca="false">$D$28*$C$15*IF((G$35-$C$28)&lt;0,0,IF((G$35-$C$28)&gt;=7,1,INDEX(Drivers!$D$86:$J$86,(G$35-$C$28)+1)))*IF((G$35-$C$28)&lt;Drivers!$C$87,1,Drivers!$C$88*Drivers!$C$89^((G$35-$C$28)-Drivers!$C$87))*$E$28</f>
        <v>0.22752</v>
      </c>
      <c r="H58" s="24" t="n">
        <f aca="false">$D$28*$C$15*IF((H$35-$C$28)&lt;0,0,IF((H$35-$C$28)&gt;=7,1,INDEX(Drivers!$D$86:$J$86,(H$35-$C$28)+1)))*IF((H$35-$C$28)&lt;Drivers!$C$87,1,Drivers!$C$88*Drivers!$C$89^((H$35-$C$28)-Drivers!$C$87))*$E$28</f>
        <v>0.711</v>
      </c>
      <c r="I58" s="24" t="n">
        <f aca="false">$D$28*$C$15*IF((I$35-$C$28)&lt;0,0,IF((I$35-$C$28)&gt;=7,1,INDEX(Drivers!$D$86:$J$86,(I$35-$C$28)+1)))*IF((I$35-$C$28)&lt;Drivers!$C$87,1,Drivers!$C$88*Drivers!$C$89^((I$35-$C$28)-Drivers!$C$87))*$E$28</f>
        <v>1.2798</v>
      </c>
      <c r="J58" s="24" t="n">
        <f aca="false">$D$28*$C$15*IF((J$35-$C$28)&lt;0,0,IF((J$35-$C$28)&gt;=7,1,INDEX(Drivers!$D$86:$J$86,(J$35-$C$28)+1)))*IF((J$35-$C$28)&lt;Drivers!$C$87,1,Drivers!$C$88*Drivers!$C$89^((J$35-$C$28)-Drivers!$C$87))*$E$28</f>
        <v>1.8486</v>
      </c>
      <c r="K58" s="24" t="n">
        <f aca="false">$D$28*$C$15*IF((K$35-$C$28)&lt;0,0,IF((K$35-$C$28)&gt;=7,1,INDEX(Drivers!$D$86:$J$86,(K$35-$C$28)+1)))*IF((K$35-$C$28)&lt;Drivers!$C$87,1,Drivers!$C$88*Drivers!$C$89^((K$35-$C$28)-Drivers!$C$87))*$E$28</f>
        <v>2.33208</v>
      </c>
      <c r="L58" s="24" t="n">
        <f aca="false">$D$28*$C$15*IF((L$35-$C$28)&lt;0,0,IF((L$35-$C$28)&gt;=7,1,INDEX(Drivers!$D$86:$J$86,(L$35-$C$28)+1)))*IF((L$35-$C$28)&lt;Drivers!$C$87,1,Drivers!$C$88*Drivers!$C$89^((L$35-$C$28)-Drivers!$C$87))*$E$28</f>
        <v>2.64492</v>
      </c>
      <c r="M58" s="24" t="n">
        <f aca="false">$D$28*$C$15*IF((M$35-$C$28)&lt;0,0,IF((M$35-$C$28)&gt;=7,1,INDEX(Drivers!$D$86:$J$86,(M$35-$C$28)+1)))*IF((M$35-$C$28)&lt;Drivers!$C$87,1,Drivers!$C$88*Drivers!$C$89^((M$35-$C$28)-Drivers!$C$87))*$E$28</f>
        <v>2.844</v>
      </c>
      <c r="N58" s="24" t="n">
        <f aca="false">$D$28*$C$15*IF((N$35-$C$28)&lt;0,0,IF((N$35-$C$28)&gt;=7,1,INDEX(Drivers!$D$86:$J$86,(N$35-$C$28)+1)))*IF((N$35-$C$28)&lt;Drivers!$C$87,1,Drivers!$C$88*Drivers!$C$89^((N$35-$C$28)-Drivers!$C$87))*$E$28</f>
        <v>2.844</v>
      </c>
      <c r="O58" s="24" t="n">
        <f aca="false">$D$28*$C$15*IF((O$35-$C$28)&lt;0,0,IF((O$35-$C$28)&gt;=7,1,INDEX(Drivers!$D$86:$J$86,(O$35-$C$28)+1)))*IF((O$35-$C$28)&lt;Drivers!$C$87,1,Drivers!$C$88*Drivers!$C$89^((O$35-$C$28)-Drivers!$C$87))*$E$28</f>
        <v>2.844</v>
      </c>
      <c r="P58" s="24" t="n">
        <f aca="false">$D$28*$C$15*IF((P$35-$C$28)&lt;0,0,IF((P$35-$C$28)&gt;=7,1,INDEX(Drivers!$D$86:$J$86,(P$35-$C$28)+1)))*IF((P$35-$C$28)&lt;Drivers!$C$87,1,Drivers!$C$88*Drivers!$C$89^((P$35-$C$28)-Drivers!$C$87))*$E$28</f>
        <v>2.844</v>
      </c>
      <c r="Q58" s="24" t="n">
        <f aca="false">$D$28*$C$15*IF((Q$35-$C$28)&lt;0,0,IF((Q$35-$C$28)&gt;=7,1,INDEX(Drivers!$D$86:$J$86,(Q$35-$C$28)+1)))*IF((Q$35-$C$28)&lt;Drivers!$C$87,1,Drivers!$C$88*Drivers!$C$89^((Q$35-$C$28)-Drivers!$C$87))*$E$28</f>
        <v>2.844</v>
      </c>
      <c r="R58" s="24" t="n">
        <f aca="false">$D$28*$C$15*IF((R$35-$C$28)&lt;0,0,IF((R$35-$C$28)&gt;=7,1,INDEX(Drivers!$D$86:$J$86,(R$35-$C$28)+1)))*IF((R$35-$C$28)&lt;Drivers!$C$87,1,Drivers!$C$88*Drivers!$C$89^((R$35-$C$28)-Drivers!$C$87))*$E$28</f>
        <v>2.844</v>
      </c>
      <c r="S58" s="24" t="n">
        <f aca="false">$D$28*$C$15*IF((S$35-$C$28)&lt;0,0,IF((S$35-$C$28)&gt;=7,1,INDEX(Drivers!$D$86:$J$86,(S$35-$C$28)+1)))*IF((S$35-$C$28)&lt;Drivers!$C$87,1,Drivers!$C$88*Drivers!$C$89^((S$35-$C$28)-Drivers!$C$87))*$E$28</f>
        <v>2.2752</v>
      </c>
      <c r="T58" s="24" t="n">
        <f aca="false">$D$28*$C$15*IF((T$35-$C$28)&lt;0,0,IF((T$35-$C$28)&gt;=7,1,INDEX(Drivers!$D$86:$J$86,(T$35-$C$28)+1)))*IF((T$35-$C$28)&lt;Drivers!$C$87,1,Drivers!$C$88*Drivers!$C$89^((T$35-$C$28)-Drivers!$C$87))*$E$28</f>
        <v>2.206944</v>
      </c>
      <c r="U58" s="24" t="n">
        <f aca="false">$D$28*$C$15*IF((U$35-$C$28)&lt;0,0,IF((U$35-$C$28)&gt;=7,1,INDEX(Drivers!$D$86:$J$86,(U$35-$C$28)+1)))*IF((U$35-$C$28)&lt;Drivers!$C$87,1,Drivers!$C$88*Drivers!$C$89^((U$35-$C$28)-Drivers!$C$87))*$E$28</f>
        <v>2.14073568</v>
      </c>
    </row>
    <row r="59" customFormat="false" ht="15" hidden="false" customHeight="false" outlineLevel="0" collapsed="false">
      <c r="A59" s="9" t="s">
        <v>348</v>
      </c>
      <c r="B59" s="35" t="s">
        <v>326</v>
      </c>
      <c r="C59" s="24" t="n">
        <f aca="false">$D$29*$C$15*IF((C$35-$C$29)&lt;0,0,IF((C$35-$C$29)&gt;=7,1,INDEX(Drivers!$D$86:$J$86,(C$35-$C$29)+1)))*IF((C$35-$C$29)&lt;Drivers!$C$87,1,Drivers!$C$88*Drivers!$C$89^((C$35-$C$29)-Drivers!$C$87))*$E$29</f>
        <v>0</v>
      </c>
      <c r="D59" s="24" t="n">
        <f aca="false">$D$29*$C$15*IF((D$35-$C$29)&lt;0,0,IF((D$35-$C$29)&gt;=7,1,INDEX(Drivers!$D$86:$J$86,(D$35-$C$29)+1)))*IF((D$35-$C$29)&lt;Drivers!$C$87,1,Drivers!$C$88*Drivers!$C$89^((D$35-$C$29)-Drivers!$C$87))*$E$29</f>
        <v>0</v>
      </c>
      <c r="E59" s="24" t="n">
        <f aca="false">$D$29*$C$15*IF((E$35-$C$29)&lt;0,0,IF((E$35-$C$29)&gt;=7,1,INDEX(Drivers!$D$86:$J$86,(E$35-$C$29)+1)))*IF((E$35-$C$29)&lt;Drivers!$C$87,1,Drivers!$C$88*Drivers!$C$89^((E$35-$C$29)-Drivers!$C$87))*$E$29</f>
        <v>0</v>
      </c>
      <c r="F59" s="24" t="n">
        <f aca="false">$D$29*$C$15*IF((F$35-$C$29)&lt;0,0,IF((F$35-$C$29)&gt;=7,1,INDEX(Drivers!$D$86:$J$86,(F$35-$C$29)+1)))*IF((F$35-$C$29)&lt;Drivers!$C$87,1,Drivers!$C$88*Drivers!$C$89^((F$35-$C$29)-Drivers!$C$87))*$E$29</f>
        <v>0</v>
      </c>
      <c r="G59" s="24" t="n">
        <f aca="false">$D$29*$C$15*IF((G$35-$C$29)&lt;0,0,IF((G$35-$C$29)&gt;=7,1,INDEX(Drivers!$D$86:$J$86,(G$35-$C$29)+1)))*IF((G$35-$C$29)&lt;Drivers!$C$87,1,Drivers!$C$88*Drivers!$C$89^((G$35-$C$29)-Drivers!$C$87))*$E$29</f>
        <v>0</v>
      </c>
      <c r="H59" s="24" t="n">
        <f aca="false">$D$29*$C$15*IF((H$35-$C$29)&lt;0,0,IF((H$35-$C$29)&gt;=7,1,INDEX(Drivers!$D$86:$J$86,(H$35-$C$29)+1)))*IF((H$35-$C$29)&lt;Drivers!$C$87,1,Drivers!$C$88*Drivers!$C$89^((H$35-$C$29)-Drivers!$C$87))*$E$29</f>
        <v>0</v>
      </c>
      <c r="I59" s="24" t="n">
        <f aca="false">$D$29*$C$15*IF((I$35-$C$29)&lt;0,0,IF((I$35-$C$29)&gt;=7,1,INDEX(Drivers!$D$86:$J$86,(I$35-$C$29)+1)))*IF((I$35-$C$29)&lt;Drivers!$C$87,1,Drivers!$C$88*Drivers!$C$89^((I$35-$C$29)-Drivers!$C$87))*$E$29</f>
        <v>0.1896</v>
      </c>
      <c r="J59" s="24" t="n">
        <f aca="false">$D$29*$C$15*IF((J$35-$C$29)&lt;0,0,IF((J$35-$C$29)&gt;=7,1,INDEX(Drivers!$D$86:$J$86,(J$35-$C$29)+1)))*IF((J$35-$C$29)&lt;Drivers!$C$87,1,Drivers!$C$88*Drivers!$C$89^((J$35-$C$29)-Drivers!$C$87))*$E$29</f>
        <v>0.5925</v>
      </c>
      <c r="K59" s="24" t="n">
        <f aca="false">$D$29*$C$15*IF((K$35-$C$29)&lt;0,0,IF((K$35-$C$29)&gt;=7,1,INDEX(Drivers!$D$86:$J$86,(K$35-$C$29)+1)))*IF((K$35-$C$29)&lt;Drivers!$C$87,1,Drivers!$C$88*Drivers!$C$89^((K$35-$C$29)-Drivers!$C$87))*$E$29</f>
        <v>1.0665</v>
      </c>
      <c r="L59" s="24" t="n">
        <f aca="false">$D$29*$C$15*IF((L$35-$C$29)&lt;0,0,IF((L$35-$C$29)&gt;=7,1,INDEX(Drivers!$D$86:$J$86,(L$35-$C$29)+1)))*IF((L$35-$C$29)&lt;Drivers!$C$87,1,Drivers!$C$88*Drivers!$C$89^((L$35-$C$29)-Drivers!$C$87))*$E$29</f>
        <v>1.5405</v>
      </c>
      <c r="M59" s="24" t="n">
        <f aca="false">$D$29*$C$15*IF((M$35-$C$29)&lt;0,0,IF((M$35-$C$29)&gt;=7,1,INDEX(Drivers!$D$86:$J$86,(M$35-$C$29)+1)))*IF((M$35-$C$29)&lt;Drivers!$C$87,1,Drivers!$C$88*Drivers!$C$89^((M$35-$C$29)-Drivers!$C$87))*$E$29</f>
        <v>1.9434</v>
      </c>
      <c r="N59" s="24" t="n">
        <f aca="false">$D$29*$C$15*IF((N$35-$C$29)&lt;0,0,IF((N$35-$C$29)&gt;=7,1,INDEX(Drivers!$D$86:$J$86,(N$35-$C$29)+1)))*IF((N$35-$C$29)&lt;Drivers!$C$87,1,Drivers!$C$88*Drivers!$C$89^((N$35-$C$29)-Drivers!$C$87))*$E$29</f>
        <v>2.2041</v>
      </c>
      <c r="O59" s="24" t="n">
        <f aca="false">$D$29*$C$15*IF((O$35-$C$29)&lt;0,0,IF((O$35-$C$29)&gt;=7,1,INDEX(Drivers!$D$86:$J$86,(O$35-$C$29)+1)))*IF((O$35-$C$29)&lt;Drivers!$C$87,1,Drivers!$C$88*Drivers!$C$89^((O$35-$C$29)-Drivers!$C$87))*$E$29</f>
        <v>2.37</v>
      </c>
      <c r="P59" s="24" t="n">
        <f aca="false">$D$29*$C$15*IF((P$35-$C$29)&lt;0,0,IF((P$35-$C$29)&gt;=7,1,INDEX(Drivers!$D$86:$J$86,(P$35-$C$29)+1)))*IF((P$35-$C$29)&lt;Drivers!$C$87,1,Drivers!$C$88*Drivers!$C$89^((P$35-$C$29)-Drivers!$C$87))*$E$29</f>
        <v>2.37</v>
      </c>
      <c r="Q59" s="24" t="n">
        <f aca="false">$D$29*$C$15*IF((Q$35-$C$29)&lt;0,0,IF((Q$35-$C$29)&gt;=7,1,INDEX(Drivers!$D$86:$J$86,(Q$35-$C$29)+1)))*IF((Q$35-$C$29)&lt;Drivers!$C$87,1,Drivers!$C$88*Drivers!$C$89^((Q$35-$C$29)-Drivers!$C$87))*$E$29</f>
        <v>2.37</v>
      </c>
      <c r="R59" s="24" t="n">
        <f aca="false">$D$29*$C$15*IF((R$35-$C$29)&lt;0,0,IF((R$35-$C$29)&gt;=7,1,INDEX(Drivers!$D$86:$J$86,(R$35-$C$29)+1)))*IF((R$35-$C$29)&lt;Drivers!$C$87,1,Drivers!$C$88*Drivers!$C$89^((R$35-$C$29)-Drivers!$C$87))*$E$29</f>
        <v>2.37</v>
      </c>
      <c r="S59" s="24" t="n">
        <f aca="false">$D$29*$C$15*IF((S$35-$C$29)&lt;0,0,IF((S$35-$C$29)&gt;=7,1,INDEX(Drivers!$D$86:$J$86,(S$35-$C$29)+1)))*IF((S$35-$C$29)&lt;Drivers!$C$87,1,Drivers!$C$88*Drivers!$C$89^((S$35-$C$29)-Drivers!$C$87))*$E$29</f>
        <v>2.37</v>
      </c>
      <c r="T59" s="24" t="n">
        <f aca="false">$D$29*$C$15*IF((T$35-$C$29)&lt;0,0,IF((T$35-$C$29)&gt;=7,1,INDEX(Drivers!$D$86:$J$86,(T$35-$C$29)+1)))*IF((T$35-$C$29)&lt;Drivers!$C$87,1,Drivers!$C$88*Drivers!$C$89^((T$35-$C$29)-Drivers!$C$87))*$E$29</f>
        <v>2.37</v>
      </c>
      <c r="U59" s="24" t="n">
        <f aca="false">$D$29*$C$15*IF((U$35-$C$29)&lt;0,0,IF((U$35-$C$29)&gt;=7,1,INDEX(Drivers!$D$86:$J$86,(U$35-$C$29)+1)))*IF((U$35-$C$29)&lt;Drivers!$C$87,1,Drivers!$C$88*Drivers!$C$89^((U$35-$C$29)-Drivers!$C$87))*$E$29</f>
        <v>1.896</v>
      </c>
    </row>
    <row r="60" customFormat="false" ht="15" hidden="false" customHeight="false" outlineLevel="0" collapsed="false">
      <c r="A60" s="9" t="s">
        <v>349</v>
      </c>
      <c r="B60" s="35" t="s">
        <v>326</v>
      </c>
      <c r="C60" s="24" t="n">
        <f aca="false">$D$30*$C$15*IF((C$35-$C$30)&lt;0,0,IF((C$35-$C$30)&gt;=7,1,INDEX(Drivers!$D$86:$J$86,(C$35-$C$30)+1)))*IF((C$35-$C$30)&lt;Drivers!$C$87,1,Drivers!$C$88*Drivers!$C$89^((C$35-$C$30)-Drivers!$C$87))*$E$30</f>
        <v>0</v>
      </c>
      <c r="D60" s="24" t="n">
        <f aca="false">$D$30*$C$15*IF((D$35-$C$30)&lt;0,0,IF((D$35-$C$30)&gt;=7,1,INDEX(Drivers!$D$86:$J$86,(D$35-$C$30)+1)))*IF((D$35-$C$30)&lt;Drivers!$C$87,1,Drivers!$C$88*Drivers!$C$89^((D$35-$C$30)-Drivers!$C$87))*$E$30</f>
        <v>0</v>
      </c>
      <c r="E60" s="24" t="n">
        <f aca="false">$D$30*$C$15*IF((E$35-$C$30)&lt;0,0,IF((E$35-$C$30)&gt;=7,1,INDEX(Drivers!$D$86:$J$86,(E$35-$C$30)+1)))*IF((E$35-$C$30)&lt;Drivers!$C$87,1,Drivers!$C$88*Drivers!$C$89^((E$35-$C$30)-Drivers!$C$87))*$E$30</f>
        <v>0</v>
      </c>
      <c r="F60" s="24" t="n">
        <f aca="false">$D$30*$C$15*IF((F$35-$C$30)&lt;0,0,IF((F$35-$C$30)&gt;=7,1,INDEX(Drivers!$D$86:$J$86,(F$35-$C$30)+1)))*IF((F$35-$C$30)&lt;Drivers!$C$87,1,Drivers!$C$88*Drivers!$C$89^((F$35-$C$30)-Drivers!$C$87))*$E$30</f>
        <v>0</v>
      </c>
      <c r="G60" s="24" t="n">
        <f aca="false">$D$30*$C$15*IF((G$35-$C$30)&lt;0,0,IF((G$35-$C$30)&gt;=7,1,INDEX(Drivers!$D$86:$J$86,(G$35-$C$30)+1)))*IF((G$35-$C$30)&lt;Drivers!$C$87,1,Drivers!$C$88*Drivers!$C$89^((G$35-$C$30)-Drivers!$C$87))*$E$30</f>
        <v>0</v>
      </c>
      <c r="H60" s="24" t="n">
        <f aca="false">$D$30*$C$15*IF((H$35-$C$30)&lt;0,0,IF((H$35-$C$30)&gt;=7,1,INDEX(Drivers!$D$86:$J$86,(H$35-$C$30)+1)))*IF((H$35-$C$30)&lt;Drivers!$C$87,1,Drivers!$C$88*Drivers!$C$89^((H$35-$C$30)-Drivers!$C$87))*$E$30</f>
        <v>0</v>
      </c>
      <c r="I60" s="24" t="n">
        <f aca="false">$D$30*$C$15*IF((I$35-$C$30)&lt;0,0,IF((I$35-$C$30)&gt;=7,1,INDEX(Drivers!$D$86:$J$86,(I$35-$C$30)+1)))*IF((I$35-$C$30)&lt;Drivers!$C$87,1,Drivers!$C$88*Drivers!$C$89^((I$35-$C$30)-Drivers!$C$87))*$E$30</f>
        <v>0</v>
      </c>
      <c r="J60" s="24" t="n">
        <f aca="false">$D$30*$C$15*IF((J$35-$C$30)&lt;0,0,IF((J$35-$C$30)&gt;=7,1,INDEX(Drivers!$D$86:$J$86,(J$35-$C$30)+1)))*IF((J$35-$C$30)&lt;Drivers!$C$87,1,Drivers!$C$88*Drivers!$C$89^((J$35-$C$30)-Drivers!$C$87))*$E$30</f>
        <v>0.1896</v>
      </c>
      <c r="K60" s="24" t="n">
        <f aca="false">$D$30*$C$15*IF((K$35-$C$30)&lt;0,0,IF((K$35-$C$30)&gt;=7,1,INDEX(Drivers!$D$86:$J$86,(K$35-$C$30)+1)))*IF((K$35-$C$30)&lt;Drivers!$C$87,1,Drivers!$C$88*Drivers!$C$89^((K$35-$C$30)-Drivers!$C$87))*$E$30</f>
        <v>0.5925</v>
      </c>
      <c r="L60" s="24" t="n">
        <f aca="false">$D$30*$C$15*IF((L$35-$C$30)&lt;0,0,IF((L$35-$C$30)&gt;=7,1,INDEX(Drivers!$D$86:$J$86,(L$35-$C$30)+1)))*IF((L$35-$C$30)&lt;Drivers!$C$87,1,Drivers!$C$88*Drivers!$C$89^((L$35-$C$30)-Drivers!$C$87))*$E$30</f>
        <v>1.0665</v>
      </c>
      <c r="M60" s="24" t="n">
        <f aca="false">$D$30*$C$15*IF((M$35-$C$30)&lt;0,0,IF((M$35-$C$30)&gt;=7,1,INDEX(Drivers!$D$86:$J$86,(M$35-$C$30)+1)))*IF((M$35-$C$30)&lt;Drivers!$C$87,1,Drivers!$C$88*Drivers!$C$89^((M$35-$C$30)-Drivers!$C$87))*$E$30</f>
        <v>1.5405</v>
      </c>
      <c r="N60" s="24" t="n">
        <f aca="false">$D$30*$C$15*IF((N$35-$C$30)&lt;0,0,IF((N$35-$C$30)&gt;=7,1,INDEX(Drivers!$D$86:$J$86,(N$35-$C$30)+1)))*IF((N$35-$C$30)&lt;Drivers!$C$87,1,Drivers!$C$88*Drivers!$C$89^((N$35-$C$30)-Drivers!$C$87))*$E$30</f>
        <v>1.9434</v>
      </c>
      <c r="O60" s="24" t="n">
        <f aca="false">$D$30*$C$15*IF((O$35-$C$30)&lt;0,0,IF((O$35-$C$30)&gt;=7,1,INDEX(Drivers!$D$86:$J$86,(O$35-$C$30)+1)))*IF((O$35-$C$30)&lt;Drivers!$C$87,1,Drivers!$C$88*Drivers!$C$89^((O$35-$C$30)-Drivers!$C$87))*$E$30</f>
        <v>2.2041</v>
      </c>
      <c r="P60" s="24" t="n">
        <f aca="false">$D$30*$C$15*IF((P$35-$C$30)&lt;0,0,IF((P$35-$C$30)&gt;=7,1,INDEX(Drivers!$D$86:$J$86,(P$35-$C$30)+1)))*IF((P$35-$C$30)&lt;Drivers!$C$87,1,Drivers!$C$88*Drivers!$C$89^((P$35-$C$30)-Drivers!$C$87))*$E$30</f>
        <v>2.37</v>
      </c>
      <c r="Q60" s="24" t="n">
        <f aca="false">$D$30*$C$15*IF((Q$35-$C$30)&lt;0,0,IF((Q$35-$C$30)&gt;=7,1,INDEX(Drivers!$D$86:$J$86,(Q$35-$C$30)+1)))*IF((Q$35-$C$30)&lt;Drivers!$C$87,1,Drivers!$C$88*Drivers!$C$89^((Q$35-$C$30)-Drivers!$C$87))*$E$30</f>
        <v>2.37</v>
      </c>
      <c r="R60" s="24" t="n">
        <f aca="false">$D$30*$C$15*IF((R$35-$C$30)&lt;0,0,IF((R$35-$C$30)&gt;=7,1,INDEX(Drivers!$D$86:$J$86,(R$35-$C$30)+1)))*IF((R$35-$C$30)&lt;Drivers!$C$87,1,Drivers!$C$88*Drivers!$C$89^((R$35-$C$30)-Drivers!$C$87))*$E$30</f>
        <v>2.37</v>
      </c>
      <c r="S60" s="24" t="n">
        <f aca="false">$D$30*$C$15*IF((S$35-$C$30)&lt;0,0,IF((S$35-$C$30)&gt;=7,1,INDEX(Drivers!$D$86:$J$86,(S$35-$C$30)+1)))*IF((S$35-$C$30)&lt;Drivers!$C$87,1,Drivers!$C$88*Drivers!$C$89^((S$35-$C$30)-Drivers!$C$87))*$E$30</f>
        <v>2.37</v>
      </c>
      <c r="T60" s="24" t="n">
        <f aca="false">$D$30*$C$15*IF((T$35-$C$30)&lt;0,0,IF((T$35-$C$30)&gt;=7,1,INDEX(Drivers!$D$86:$J$86,(T$35-$C$30)+1)))*IF((T$35-$C$30)&lt;Drivers!$C$87,1,Drivers!$C$88*Drivers!$C$89^((T$35-$C$30)-Drivers!$C$87))*$E$30</f>
        <v>2.37</v>
      </c>
      <c r="U60" s="24" t="n">
        <f aca="false">$D$30*$C$15*IF((U$35-$C$30)&lt;0,0,IF((U$35-$C$30)&gt;=7,1,INDEX(Drivers!$D$86:$J$86,(U$35-$C$30)+1)))*IF((U$35-$C$30)&lt;Drivers!$C$87,1,Drivers!$C$88*Drivers!$C$89^((U$35-$C$30)-Drivers!$C$87))*$E$30</f>
        <v>2.37</v>
      </c>
    </row>
    <row r="61" customFormat="false" ht="15" hidden="false" customHeight="false" outlineLevel="0" collapsed="false">
      <c r="A61" s="9" t="s">
        <v>350</v>
      </c>
      <c r="B61" s="35" t="s">
        <v>326</v>
      </c>
      <c r="C61" s="24" t="n">
        <f aca="false">$D$31*$C$15*IF((C$35-$C$31)&lt;0,0,IF((C$35-$C$31)&gt;=7,1,INDEX(Drivers!$D$86:$J$86,(C$35-$C$31)+1)))*IF((C$35-$C$31)&lt;Drivers!$C$87,1,Drivers!$C$88*Drivers!$C$89^((C$35-$C$31)-Drivers!$C$87))*$E$31</f>
        <v>0</v>
      </c>
      <c r="D61" s="24" t="n">
        <f aca="false">$D$31*$C$15*IF((D$35-$C$31)&lt;0,0,IF((D$35-$C$31)&gt;=7,1,INDEX(Drivers!$D$86:$J$86,(D$35-$C$31)+1)))*IF((D$35-$C$31)&lt;Drivers!$C$87,1,Drivers!$C$88*Drivers!$C$89^((D$35-$C$31)-Drivers!$C$87))*$E$31</f>
        <v>0</v>
      </c>
      <c r="E61" s="24" t="n">
        <f aca="false">$D$31*$C$15*IF((E$35-$C$31)&lt;0,0,IF((E$35-$C$31)&gt;=7,1,INDEX(Drivers!$D$86:$J$86,(E$35-$C$31)+1)))*IF((E$35-$C$31)&lt;Drivers!$C$87,1,Drivers!$C$88*Drivers!$C$89^((E$35-$C$31)-Drivers!$C$87))*$E$31</f>
        <v>0</v>
      </c>
      <c r="F61" s="24" t="n">
        <f aca="false">$D$31*$C$15*IF((F$35-$C$31)&lt;0,0,IF((F$35-$C$31)&gt;=7,1,INDEX(Drivers!$D$86:$J$86,(F$35-$C$31)+1)))*IF((F$35-$C$31)&lt;Drivers!$C$87,1,Drivers!$C$88*Drivers!$C$89^((F$35-$C$31)-Drivers!$C$87))*$E$31</f>
        <v>0</v>
      </c>
      <c r="G61" s="24" t="n">
        <f aca="false">$D$31*$C$15*IF((G$35-$C$31)&lt;0,0,IF((G$35-$C$31)&gt;=7,1,INDEX(Drivers!$D$86:$J$86,(G$35-$C$31)+1)))*IF((G$35-$C$31)&lt;Drivers!$C$87,1,Drivers!$C$88*Drivers!$C$89^((G$35-$C$31)-Drivers!$C$87))*$E$31</f>
        <v>0.15168</v>
      </c>
      <c r="H61" s="24" t="n">
        <f aca="false">$D$31*$C$15*IF((H$35-$C$31)&lt;0,0,IF((H$35-$C$31)&gt;=7,1,INDEX(Drivers!$D$86:$J$86,(H$35-$C$31)+1)))*IF((H$35-$C$31)&lt;Drivers!$C$87,1,Drivers!$C$88*Drivers!$C$89^((H$35-$C$31)-Drivers!$C$87))*$E$31</f>
        <v>0.474</v>
      </c>
      <c r="I61" s="24" t="n">
        <f aca="false">$D$31*$C$15*IF((I$35-$C$31)&lt;0,0,IF((I$35-$C$31)&gt;=7,1,INDEX(Drivers!$D$86:$J$86,(I$35-$C$31)+1)))*IF((I$35-$C$31)&lt;Drivers!$C$87,1,Drivers!$C$88*Drivers!$C$89^((I$35-$C$31)-Drivers!$C$87))*$E$31</f>
        <v>0.8532</v>
      </c>
      <c r="J61" s="24" t="n">
        <f aca="false">$D$31*$C$15*IF((J$35-$C$31)&lt;0,0,IF((J$35-$C$31)&gt;=7,1,INDEX(Drivers!$D$86:$J$86,(J$35-$C$31)+1)))*IF((J$35-$C$31)&lt;Drivers!$C$87,1,Drivers!$C$88*Drivers!$C$89^((J$35-$C$31)-Drivers!$C$87))*$E$31</f>
        <v>1.2324</v>
      </c>
      <c r="K61" s="24" t="n">
        <f aca="false">$D$31*$C$15*IF((K$35-$C$31)&lt;0,0,IF((K$35-$C$31)&gt;=7,1,INDEX(Drivers!$D$86:$J$86,(K$35-$C$31)+1)))*IF((K$35-$C$31)&lt;Drivers!$C$87,1,Drivers!$C$88*Drivers!$C$89^((K$35-$C$31)-Drivers!$C$87))*$E$31</f>
        <v>1.55472</v>
      </c>
      <c r="L61" s="24" t="n">
        <f aca="false">$D$31*$C$15*IF((L$35-$C$31)&lt;0,0,IF((L$35-$C$31)&gt;=7,1,INDEX(Drivers!$D$86:$J$86,(L$35-$C$31)+1)))*IF((L$35-$C$31)&lt;Drivers!$C$87,1,Drivers!$C$88*Drivers!$C$89^((L$35-$C$31)-Drivers!$C$87))*$E$31</f>
        <v>1.76328</v>
      </c>
      <c r="M61" s="24" t="n">
        <f aca="false">$D$31*$C$15*IF((M$35-$C$31)&lt;0,0,IF((M$35-$C$31)&gt;=7,1,INDEX(Drivers!$D$86:$J$86,(M$35-$C$31)+1)))*IF((M$35-$C$31)&lt;Drivers!$C$87,1,Drivers!$C$88*Drivers!$C$89^((M$35-$C$31)-Drivers!$C$87))*$E$31</f>
        <v>1.896</v>
      </c>
      <c r="N61" s="24" t="n">
        <f aca="false">$D$31*$C$15*IF((N$35-$C$31)&lt;0,0,IF((N$35-$C$31)&gt;=7,1,INDEX(Drivers!$D$86:$J$86,(N$35-$C$31)+1)))*IF((N$35-$C$31)&lt;Drivers!$C$87,1,Drivers!$C$88*Drivers!$C$89^((N$35-$C$31)-Drivers!$C$87))*$E$31</f>
        <v>1.896</v>
      </c>
      <c r="O61" s="24" t="n">
        <f aca="false">$D$31*$C$15*IF((O$35-$C$31)&lt;0,0,IF((O$35-$C$31)&gt;=7,1,INDEX(Drivers!$D$86:$J$86,(O$35-$C$31)+1)))*IF((O$35-$C$31)&lt;Drivers!$C$87,1,Drivers!$C$88*Drivers!$C$89^((O$35-$C$31)-Drivers!$C$87))*$E$31</f>
        <v>1.896</v>
      </c>
      <c r="P61" s="24" t="n">
        <f aca="false">$D$31*$C$15*IF((P$35-$C$31)&lt;0,0,IF((P$35-$C$31)&gt;=7,1,INDEX(Drivers!$D$86:$J$86,(P$35-$C$31)+1)))*IF((P$35-$C$31)&lt;Drivers!$C$87,1,Drivers!$C$88*Drivers!$C$89^((P$35-$C$31)-Drivers!$C$87))*$E$31</f>
        <v>1.896</v>
      </c>
      <c r="Q61" s="24" t="n">
        <f aca="false">$D$31*$C$15*IF((Q$35-$C$31)&lt;0,0,IF((Q$35-$C$31)&gt;=7,1,INDEX(Drivers!$D$86:$J$86,(Q$35-$C$31)+1)))*IF((Q$35-$C$31)&lt;Drivers!$C$87,1,Drivers!$C$88*Drivers!$C$89^((Q$35-$C$31)-Drivers!$C$87))*$E$31</f>
        <v>1.896</v>
      </c>
      <c r="R61" s="24" t="n">
        <f aca="false">$D$31*$C$15*IF((R$35-$C$31)&lt;0,0,IF((R$35-$C$31)&gt;=7,1,INDEX(Drivers!$D$86:$J$86,(R$35-$C$31)+1)))*IF((R$35-$C$31)&lt;Drivers!$C$87,1,Drivers!$C$88*Drivers!$C$89^((R$35-$C$31)-Drivers!$C$87))*$E$31</f>
        <v>1.896</v>
      </c>
      <c r="S61" s="24" t="n">
        <f aca="false">$D$31*$C$15*IF((S$35-$C$31)&lt;0,0,IF((S$35-$C$31)&gt;=7,1,INDEX(Drivers!$D$86:$J$86,(S$35-$C$31)+1)))*IF((S$35-$C$31)&lt;Drivers!$C$87,1,Drivers!$C$88*Drivers!$C$89^((S$35-$C$31)-Drivers!$C$87))*$E$31</f>
        <v>1.5168</v>
      </c>
      <c r="T61" s="24" t="n">
        <f aca="false">$D$31*$C$15*IF((T$35-$C$31)&lt;0,0,IF((T$35-$C$31)&gt;=7,1,INDEX(Drivers!$D$86:$J$86,(T$35-$C$31)+1)))*IF((T$35-$C$31)&lt;Drivers!$C$87,1,Drivers!$C$88*Drivers!$C$89^((T$35-$C$31)-Drivers!$C$87))*$E$31</f>
        <v>1.471296</v>
      </c>
      <c r="U61" s="24" t="n">
        <f aca="false">$D$31*$C$15*IF((U$35-$C$31)&lt;0,0,IF((U$35-$C$31)&gt;=7,1,INDEX(Drivers!$D$86:$J$86,(U$35-$C$31)+1)))*IF((U$35-$C$31)&lt;Drivers!$C$87,1,Drivers!$C$88*Drivers!$C$89^((U$35-$C$31)-Drivers!$C$87))*$E$31</f>
        <v>1.42715712</v>
      </c>
    </row>
    <row r="62" customFormat="false" ht="15" hidden="false" customHeight="false" outlineLevel="0" collapsed="false">
      <c r="A62" s="9" t="s">
        <v>351</v>
      </c>
      <c r="B62" s="35" t="s">
        <v>326</v>
      </c>
      <c r="C62" s="24" t="n">
        <f aca="false">$D$32*$C$15*IF((C$35-$C$32)&lt;0,0,IF((C$35-$C$32)&gt;=7,1,INDEX(Drivers!$D$86:$J$86,(C$35-$C$32)+1)))*IF((C$35-$C$32)&lt;Drivers!$C$87,1,Drivers!$C$88*Drivers!$C$89^((C$35-$C$32)-Drivers!$C$87))*$E$32</f>
        <v>0</v>
      </c>
      <c r="D62" s="24" t="n">
        <f aca="false">$D$32*$C$15*IF((D$35-$C$32)&lt;0,0,IF((D$35-$C$32)&gt;=7,1,INDEX(Drivers!$D$86:$J$86,(D$35-$C$32)+1)))*IF((D$35-$C$32)&lt;Drivers!$C$87,1,Drivers!$C$88*Drivers!$C$89^((D$35-$C$32)-Drivers!$C$87))*$E$32</f>
        <v>0</v>
      </c>
      <c r="E62" s="24" t="n">
        <f aca="false">$D$32*$C$15*IF((E$35-$C$32)&lt;0,0,IF((E$35-$C$32)&gt;=7,1,INDEX(Drivers!$D$86:$J$86,(E$35-$C$32)+1)))*IF((E$35-$C$32)&lt;Drivers!$C$87,1,Drivers!$C$88*Drivers!$C$89^((E$35-$C$32)-Drivers!$C$87))*$E$32</f>
        <v>0</v>
      </c>
      <c r="F62" s="24" t="n">
        <f aca="false">$D$32*$C$15*IF((F$35-$C$32)&lt;0,0,IF((F$35-$C$32)&gt;=7,1,INDEX(Drivers!$D$86:$J$86,(F$35-$C$32)+1)))*IF((F$35-$C$32)&lt;Drivers!$C$87,1,Drivers!$C$88*Drivers!$C$89^((F$35-$C$32)-Drivers!$C$87))*$E$32</f>
        <v>0</v>
      </c>
      <c r="G62" s="24" t="n">
        <f aca="false">$D$32*$C$15*IF((G$35-$C$32)&lt;0,0,IF((G$35-$C$32)&gt;=7,1,INDEX(Drivers!$D$86:$J$86,(G$35-$C$32)+1)))*IF((G$35-$C$32)&lt;Drivers!$C$87,1,Drivers!$C$88*Drivers!$C$89^((G$35-$C$32)-Drivers!$C$87))*$E$32</f>
        <v>0</v>
      </c>
      <c r="H62" s="24" t="n">
        <f aca="false">$D$32*$C$15*IF((H$35-$C$32)&lt;0,0,IF((H$35-$C$32)&gt;=7,1,INDEX(Drivers!$D$86:$J$86,(H$35-$C$32)+1)))*IF((H$35-$C$32)&lt;Drivers!$C$87,1,Drivers!$C$88*Drivers!$C$89^((H$35-$C$32)-Drivers!$C$87))*$E$32</f>
        <v>0.22752</v>
      </c>
      <c r="I62" s="24" t="n">
        <f aca="false">$D$32*$C$15*IF((I$35-$C$32)&lt;0,0,IF((I$35-$C$32)&gt;=7,1,INDEX(Drivers!$D$86:$J$86,(I$35-$C$32)+1)))*IF((I$35-$C$32)&lt;Drivers!$C$87,1,Drivers!$C$88*Drivers!$C$89^((I$35-$C$32)-Drivers!$C$87))*$E$32</f>
        <v>0.711</v>
      </c>
      <c r="J62" s="24" t="n">
        <f aca="false">$D$32*$C$15*IF((J$35-$C$32)&lt;0,0,IF((J$35-$C$32)&gt;=7,1,INDEX(Drivers!$D$86:$J$86,(J$35-$C$32)+1)))*IF((J$35-$C$32)&lt;Drivers!$C$87,1,Drivers!$C$88*Drivers!$C$89^((J$35-$C$32)-Drivers!$C$87))*$E$32</f>
        <v>1.2798</v>
      </c>
      <c r="K62" s="24" t="n">
        <f aca="false">$D$32*$C$15*IF((K$35-$C$32)&lt;0,0,IF((K$35-$C$32)&gt;=7,1,INDEX(Drivers!$D$86:$J$86,(K$35-$C$32)+1)))*IF((K$35-$C$32)&lt;Drivers!$C$87,1,Drivers!$C$88*Drivers!$C$89^((K$35-$C$32)-Drivers!$C$87))*$E$32</f>
        <v>1.8486</v>
      </c>
      <c r="L62" s="24" t="n">
        <f aca="false">$D$32*$C$15*IF((L$35-$C$32)&lt;0,0,IF((L$35-$C$32)&gt;=7,1,INDEX(Drivers!$D$86:$J$86,(L$35-$C$32)+1)))*IF((L$35-$C$32)&lt;Drivers!$C$87,1,Drivers!$C$88*Drivers!$C$89^((L$35-$C$32)-Drivers!$C$87))*$E$32</f>
        <v>2.33208</v>
      </c>
      <c r="M62" s="24" t="n">
        <f aca="false">$D$32*$C$15*IF((M$35-$C$32)&lt;0,0,IF((M$35-$C$32)&gt;=7,1,INDEX(Drivers!$D$86:$J$86,(M$35-$C$32)+1)))*IF((M$35-$C$32)&lt;Drivers!$C$87,1,Drivers!$C$88*Drivers!$C$89^((M$35-$C$32)-Drivers!$C$87))*$E$32</f>
        <v>2.64492</v>
      </c>
      <c r="N62" s="24" t="n">
        <f aca="false">$D$32*$C$15*IF((N$35-$C$32)&lt;0,0,IF((N$35-$C$32)&gt;=7,1,INDEX(Drivers!$D$86:$J$86,(N$35-$C$32)+1)))*IF((N$35-$C$32)&lt;Drivers!$C$87,1,Drivers!$C$88*Drivers!$C$89^((N$35-$C$32)-Drivers!$C$87))*$E$32</f>
        <v>2.844</v>
      </c>
      <c r="O62" s="24" t="n">
        <f aca="false">$D$32*$C$15*IF((O$35-$C$32)&lt;0,0,IF((O$35-$C$32)&gt;=7,1,INDEX(Drivers!$D$86:$J$86,(O$35-$C$32)+1)))*IF((O$35-$C$32)&lt;Drivers!$C$87,1,Drivers!$C$88*Drivers!$C$89^((O$35-$C$32)-Drivers!$C$87))*$E$32</f>
        <v>2.844</v>
      </c>
      <c r="P62" s="24" t="n">
        <f aca="false">$D$32*$C$15*IF((P$35-$C$32)&lt;0,0,IF((P$35-$C$32)&gt;=7,1,INDEX(Drivers!$D$86:$J$86,(P$35-$C$32)+1)))*IF((P$35-$C$32)&lt;Drivers!$C$87,1,Drivers!$C$88*Drivers!$C$89^((P$35-$C$32)-Drivers!$C$87))*$E$32</f>
        <v>2.844</v>
      </c>
      <c r="Q62" s="24" t="n">
        <f aca="false">$D$32*$C$15*IF((Q$35-$C$32)&lt;0,0,IF((Q$35-$C$32)&gt;=7,1,INDEX(Drivers!$D$86:$J$86,(Q$35-$C$32)+1)))*IF((Q$35-$C$32)&lt;Drivers!$C$87,1,Drivers!$C$88*Drivers!$C$89^((Q$35-$C$32)-Drivers!$C$87))*$E$32</f>
        <v>2.844</v>
      </c>
      <c r="R62" s="24" t="n">
        <f aca="false">$D$32*$C$15*IF((R$35-$C$32)&lt;0,0,IF((R$35-$C$32)&gt;=7,1,INDEX(Drivers!$D$86:$J$86,(R$35-$C$32)+1)))*IF((R$35-$C$32)&lt;Drivers!$C$87,1,Drivers!$C$88*Drivers!$C$89^((R$35-$C$32)-Drivers!$C$87))*$E$32</f>
        <v>2.844</v>
      </c>
      <c r="S62" s="24" t="n">
        <f aca="false">$D$32*$C$15*IF((S$35-$C$32)&lt;0,0,IF((S$35-$C$32)&gt;=7,1,INDEX(Drivers!$D$86:$J$86,(S$35-$C$32)+1)))*IF((S$35-$C$32)&lt;Drivers!$C$87,1,Drivers!$C$88*Drivers!$C$89^((S$35-$C$32)-Drivers!$C$87))*$E$32</f>
        <v>2.844</v>
      </c>
      <c r="T62" s="24" t="n">
        <f aca="false">$D$32*$C$15*IF((T$35-$C$32)&lt;0,0,IF((T$35-$C$32)&gt;=7,1,INDEX(Drivers!$D$86:$J$86,(T$35-$C$32)+1)))*IF((T$35-$C$32)&lt;Drivers!$C$87,1,Drivers!$C$88*Drivers!$C$89^((T$35-$C$32)-Drivers!$C$87))*$E$32</f>
        <v>2.2752</v>
      </c>
      <c r="U62" s="24" t="n">
        <f aca="false">$D$32*$C$15*IF((U$35-$C$32)&lt;0,0,IF((U$35-$C$32)&gt;=7,1,INDEX(Drivers!$D$86:$J$86,(U$35-$C$32)+1)))*IF((U$35-$C$32)&lt;Drivers!$C$87,1,Drivers!$C$88*Drivers!$C$89^((U$35-$C$32)-Drivers!$C$87))*$E$32</f>
        <v>2.206944</v>
      </c>
    </row>
    <row r="63" customFormat="false" ht="15" hidden="false" customHeight="false" outlineLevel="0" collapsed="false">
      <c r="A63" s="9" t="s">
        <v>352</v>
      </c>
      <c r="B63" s="35" t="s">
        <v>326</v>
      </c>
      <c r="C63" s="24" t="n">
        <f aca="false">$D$33*$C$15*IF((C$35-$C$33)&lt;0,0,IF((C$35-$C$33)&gt;=7,1,INDEX(Drivers!$D$86:$J$86,(C$35-$C$33)+1)))*IF((C$35-$C$33)&lt;Drivers!$C$87,1,Drivers!$C$88*Drivers!$C$89^((C$35-$C$33)-Drivers!$C$87))*$E$33</f>
        <v>0</v>
      </c>
      <c r="D63" s="24" t="n">
        <f aca="false">$D$33*$C$15*IF((D$35-$C$33)&lt;0,0,IF((D$35-$C$33)&gt;=7,1,INDEX(Drivers!$D$86:$J$86,(D$35-$C$33)+1)))*IF((D$35-$C$33)&lt;Drivers!$C$87,1,Drivers!$C$88*Drivers!$C$89^((D$35-$C$33)-Drivers!$C$87))*$E$33</f>
        <v>0</v>
      </c>
      <c r="E63" s="24" t="n">
        <f aca="false">$D$33*$C$15*IF((E$35-$C$33)&lt;0,0,IF((E$35-$C$33)&gt;=7,1,INDEX(Drivers!$D$86:$J$86,(E$35-$C$33)+1)))*IF((E$35-$C$33)&lt;Drivers!$C$87,1,Drivers!$C$88*Drivers!$C$89^((E$35-$C$33)-Drivers!$C$87))*$E$33</f>
        <v>0</v>
      </c>
      <c r="F63" s="24" t="n">
        <f aca="false">$D$33*$C$15*IF((F$35-$C$33)&lt;0,0,IF((F$35-$C$33)&gt;=7,1,INDEX(Drivers!$D$86:$J$86,(F$35-$C$33)+1)))*IF((F$35-$C$33)&lt;Drivers!$C$87,1,Drivers!$C$88*Drivers!$C$89^((F$35-$C$33)-Drivers!$C$87))*$E$33</f>
        <v>0</v>
      </c>
      <c r="G63" s="24" t="n">
        <f aca="false">$D$33*$C$15*IF((G$35-$C$33)&lt;0,0,IF((G$35-$C$33)&gt;=7,1,INDEX(Drivers!$D$86:$J$86,(G$35-$C$33)+1)))*IF((G$35-$C$33)&lt;Drivers!$C$87,1,Drivers!$C$88*Drivers!$C$89^((G$35-$C$33)-Drivers!$C$87))*$E$33</f>
        <v>0</v>
      </c>
      <c r="H63" s="24" t="n">
        <f aca="false">$D$33*$C$15*IF((H$35-$C$33)&lt;0,0,IF((H$35-$C$33)&gt;=7,1,INDEX(Drivers!$D$86:$J$86,(H$35-$C$33)+1)))*IF((H$35-$C$33)&lt;Drivers!$C$87,1,Drivers!$C$88*Drivers!$C$89^((H$35-$C$33)-Drivers!$C$87))*$E$33</f>
        <v>0</v>
      </c>
      <c r="I63" s="24" t="n">
        <f aca="false">$D$33*$C$15*IF((I$35-$C$33)&lt;0,0,IF((I$35-$C$33)&gt;=7,1,INDEX(Drivers!$D$86:$J$86,(I$35-$C$33)+1)))*IF((I$35-$C$33)&lt;Drivers!$C$87,1,Drivers!$C$88*Drivers!$C$89^((I$35-$C$33)-Drivers!$C$87))*$E$33</f>
        <v>0</v>
      </c>
      <c r="J63" s="24" t="n">
        <f aca="false">$D$33*$C$15*IF((J$35-$C$33)&lt;0,0,IF((J$35-$C$33)&gt;=7,1,INDEX(Drivers!$D$86:$J$86,(J$35-$C$33)+1)))*IF((J$35-$C$33)&lt;Drivers!$C$87,1,Drivers!$C$88*Drivers!$C$89^((J$35-$C$33)-Drivers!$C$87))*$E$33</f>
        <v>0</v>
      </c>
      <c r="K63" s="24" t="n">
        <f aca="false">$D$33*$C$15*IF((K$35-$C$33)&lt;0,0,IF((K$35-$C$33)&gt;=7,1,INDEX(Drivers!$D$86:$J$86,(K$35-$C$33)+1)))*IF((K$35-$C$33)&lt;Drivers!$C$87,1,Drivers!$C$88*Drivers!$C$89^((K$35-$C$33)-Drivers!$C$87))*$E$33</f>
        <v>1.1376</v>
      </c>
      <c r="L63" s="24" t="n">
        <f aca="false">$D$33*$C$15*IF((L$35-$C$33)&lt;0,0,IF((L$35-$C$33)&gt;=7,1,INDEX(Drivers!$D$86:$J$86,(L$35-$C$33)+1)))*IF((L$35-$C$33)&lt;Drivers!$C$87,1,Drivers!$C$88*Drivers!$C$89^((L$35-$C$33)-Drivers!$C$87))*$E$33</f>
        <v>3.555</v>
      </c>
      <c r="M63" s="24" t="n">
        <f aca="false">$D$33*$C$15*IF((M$35-$C$33)&lt;0,0,IF((M$35-$C$33)&gt;=7,1,INDEX(Drivers!$D$86:$J$86,(M$35-$C$33)+1)))*IF((M$35-$C$33)&lt;Drivers!$C$87,1,Drivers!$C$88*Drivers!$C$89^((M$35-$C$33)-Drivers!$C$87))*$E$33</f>
        <v>6.399</v>
      </c>
      <c r="N63" s="24" t="n">
        <f aca="false">$D$33*$C$15*IF((N$35-$C$33)&lt;0,0,IF((N$35-$C$33)&gt;=7,1,INDEX(Drivers!$D$86:$J$86,(N$35-$C$33)+1)))*IF((N$35-$C$33)&lt;Drivers!$C$87,1,Drivers!$C$88*Drivers!$C$89^((N$35-$C$33)-Drivers!$C$87))*$E$33</f>
        <v>9.243</v>
      </c>
      <c r="O63" s="24" t="n">
        <f aca="false">$D$33*$C$15*IF((O$35-$C$33)&lt;0,0,IF((O$35-$C$33)&gt;=7,1,INDEX(Drivers!$D$86:$J$86,(O$35-$C$33)+1)))*IF((O$35-$C$33)&lt;Drivers!$C$87,1,Drivers!$C$88*Drivers!$C$89^((O$35-$C$33)-Drivers!$C$87))*$E$33</f>
        <v>11.6604</v>
      </c>
      <c r="P63" s="24" t="n">
        <f aca="false">$D$33*$C$15*IF((P$35-$C$33)&lt;0,0,IF((P$35-$C$33)&gt;=7,1,INDEX(Drivers!$D$86:$J$86,(P$35-$C$33)+1)))*IF((P$35-$C$33)&lt;Drivers!$C$87,1,Drivers!$C$88*Drivers!$C$89^((P$35-$C$33)-Drivers!$C$87))*$E$33</f>
        <v>13.2246</v>
      </c>
      <c r="Q63" s="24" t="n">
        <f aca="false">$D$33*$C$15*IF((Q$35-$C$33)&lt;0,0,IF((Q$35-$C$33)&gt;=7,1,INDEX(Drivers!$D$86:$J$86,(Q$35-$C$33)+1)))*IF((Q$35-$C$33)&lt;Drivers!$C$87,1,Drivers!$C$88*Drivers!$C$89^((Q$35-$C$33)-Drivers!$C$87))*$E$33</f>
        <v>14.22</v>
      </c>
      <c r="R63" s="24" t="n">
        <f aca="false">$D$33*$C$15*IF((R$35-$C$33)&lt;0,0,IF((R$35-$C$33)&gt;=7,1,INDEX(Drivers!$D$86:$J$86,(R$35-$C$33)+1)))*IF((R$35-$C$33)&lt;Drivers!$C$87,1,Drivers!$C$88*Drivers!$C$89^((R$35-$C$33)-Drivers!$C$87))*$E$33</f>
        <v>14.22</v>
      </c>
      <c r="S63" s="24" t="n">
        <f aca="false">$D$33*$C$15*IF((S$35-$C$33)&lt;0,0,IF((S$35-$C$33)&gt;=7,1,INDEX(Drivers!$D$86:$J$86,(S$35-$C$33)+1)))*IF((S$35-$C$33)&lt;Drivers!$C$87,1,Drivers!$C$88*Drivers!$C$89^((S$35-$C$33)-Drivers!$C$87))*$E$33</f>
        <v>14.22</v>
      </c>
      <c r="T63" s="24" t="n">
        <f aca="false">$D$33*$C$15*IF((T$35-$C$33)&lt;0,0,IF((T$35-$C$33)&gt;=7,1,INDEX(Drivers!$D$86:$J$86,(T$35-$C$33)+1)))*IF((T$35-$C$33)&lt;Drivers!$C$87,1,Drivers!$C$88*Drivers!$C$89^((T$35-$C$33)-Drivers!$C$87))*$E$33</f>
        <v>14.22</v>
      </c>
      <c r="U63" s="24" t="n">
        <f aca="false">$D$33*$C$15*IF((U$35-$C$33)&lt;0,0,IF((U$35-$C$33)&gt;=7,1,INDEX(Drivers!$D$86:$J$86,(U$35-$C$33)+1)))*IF((U$35-$C$33)&lt;Drivers!$C$87,1,Drivers!$C$88*Drivers!$C$89^((U$35-$C$33)-Drivers!$C$87))*$E$33</f>
        <v>14.22</v>
      </c>
    </row>
    <row r="64" customFormat="false" ht="15" hidden="false" customHeight="false" outlineLevel="0" collapsed="false">
      <c r="A64" s="3" t="s">
        <v>353</v>
      </c>
      <c r="B64" s="35" t="s">
        <v>326</v>
      </c>
      <c r="C64" s="29" t="n">
        <f aca="false">SUM(C54:C63)</f>
        <v>0.7584</v>
      </c>
      <c r="D64" s="29" t="n">
        <f aca="false">SUM(D54:D63)</f>
        <v>2.37</v>
      </c>
      <c r="E64" s="29" t="n">
        <f aca="false">SUM(E54:E63)</f>
        <v>4.266</v>
      </c>
      <c r="F64" s="29" t="n">
        <f aca="false">SUM(F54:F63)</f>
        <v>6.162</v>
      </c>
      <c r="G64" s="29" t="n">
        <f aca="false">SUM(G54:G63)</f>
        <v>8.9112</v>
      </c>
      <c r="H64" s="29" t="n">
        <f aca="false">SUM(H54:H63)</f>
        <v>12.59892</v>
      </c>
      <c r="I64" s="29" t="n">
        <f aca="false">SUM(I54:I63)</f>
        <v>16.7796</v>
      </c>
      <c r="J64" s="29" t="n">
        <f aca="false">SUM(J54:J63)</f>
        <v>21.0693</v>
      </c>
      <c r="K64" s="29" t="n">
        <f aca="false">SUM(K54:K63)</f>
        <v>27.14835</v>
      </c>
      <c r="L64" s="29" t="n">
        <f aca="false">SUM(L54:L63)</f>
        <v>34.27968</v>
      </c>
      <c r="M64" s="29" t="n">
        <f aca="false">SUM(M54:M63)</f>
        <v>41.20482</v>
      </c>
      <c r="N64" s="29" t="n">
        <f aca="false">SUM(N54:N63)</f>
        <v>46.70085</v>
      </c>
      <c r="O64" s="29" t="n">
        <f aca="false">SUM(O54:O63)</f>
        <v>49.04715</v>
      </c>
      <c r="P64" s="29" t="n">
        <f aca="false">SUM(P54:P63)</f>
        <v>51.45033</v>
      </c>
      <c r="Q64" s="29" t="n">
        <f aca="false">SUM(Q54:Q63)</f>
        <v>52.6397856</v>
      </c>
      <c r="R64" s="29" t="n">
        <f aca="false">SUM(R54:R63)</f>
        <v>52.425712032</v>
      </c>
      <c r="S64" s="29" t="n">
        <f aca="false">SUM(S54:S63)</f>
        <v>49.37406067104</v>
      </c>
      <c r="T64" s="29" t="n">
        <f aca="false">SUM(T54:T63)</f>
        <v>48.2625588509088</v>
      </c>
      <c r="U64" s="29" t="n">
        <f aca="false">SUM(U54:U63)</f>
        <v>47.1938820853815</v>
      </c>
    </row>
    <row r="65" customFormat="false" ht="15" hidden="false" customHeight="false" outlineLevel="0" collapsed="false">
      <c r="A65" s="9" t="s">
        <v>354</v>
      </c>
      <c r="B65" s="35" t="s">
        <v>334</v>
      </c>
      <c r="C65" s="11" t="n">
        <f aca="false">IF((C$35-$C$24)&lt;0,0,Drivers!$C$90+($C$16-Drivers!$C$90)*MIN((C$35-$C$24)/Drivers!$C$91,1))</f>
        <v>0.2</v>
      </c>
      <c r="D65" s="11" t="n">
        <f aca="false">IF((D$35-$C$24)&lt;0,0,Drivers!$C$90+($C$16-Drivers!$C$90)*MIN((D$35-$C$24)/Drivers!$C$91,1))</f>
        <v>0.284</v>
      </c>
      <c r="E65" s="11" t="n">
        <f aca="false">IF((E$35-$C$24)&lt;0,0,Drivers!$C$90+($C$16-Drivers!$C$90)*MIN((E$35-$C$24)/Drivers!$C$91,1))</f>
        <v>0.368</v>
      </c>
      <c r="F65" s="11" t="n">
        <f aca="false">IF((F$35-$C$24)&lt;0,0,Drivers!$C$90+($C$16-Drivers!$C$90)*MIN((F$35-$C$24)/Drivers!$C$91,1))</f>
        <v>0.452</v>
      </c>
      <c r="G65" s="11" t="n">
        <f aca="false">IF((G$35-$C$24)&lt;0,0,Drivers!$C$90+($C$16-Drivers!$C$90)*MIN((G$35-$C$24)/Drivers!$C$91,1))</f>
        <v>0.536</v>
      </c>
      <c r="H65" s="11" t="n">
        <f aca="false">IF((H$35-$C$24)&lt;0,0,Drivers!$C$90+($C$16-Drivers!$C$90)*MIN((H$35-$C$24)/Drivers!$C$91,1))</f>
        <v>0.62</v>
      </c>
      <c r="I65" s="11" t="n">
        <f aca="false">IF((I$35-$C$24)&lt;0,0,Drivers!$C$90+($C$16-Drivers!$C$90)*MIN((I$35-$C$24)/Drivers!$C$91,1))</f>
        <v>0.62</v>
      </c>
      <c r="J65" s="11" t="n">
        <f aca="false">IF((J$35-$C$24)&lt;0,0,Drivers!$C$90+($C$16-Drivers!$C$90)*MIN((J$35-$C$24)/Drivers!$C$91,1))</f>
        <v>0.62</v>
      </c>
      <c r="K65" s="11" t="n">
        <f aca="false">IF((K$35-$C$24)&lt;0,0,Drivers!$C$90+($C$16-Drivers!$C$90)*MIN((K$35-$C$24)/Drivers!$C$91,1))</f>
        <v>0.62</v>
      </c>
      <c r="L65" s="11" t="n">
        <f aca="false">IF((L$35-$C$24)&lt;0,0,Drivers!$C$90+($C$16-Drivers!$C$90)*MIN((L$35-$C$24)/Drivers!$C$91,1))</f>
        <v>0.62</v>
      </c>
      <c r="M65" s="11" t="n">
        <f aca="false">IF((M$35-$C$24)&lt;0,0,Drivers!$C$90+($C$16-Drivers!$C$90)*MIN((M$35-$C$24)/Drivers!$C$91,1))</f>
        <v>0.62</v>
      </c>
      <c r="N65" s="11" t="n">
        <f aca="false">IF((N$35-$C$24)&lt;0,0,Drivers!$C$90+($C$16-Drivers!$C$90)*MIN((N$35-$C$24)/Drivers!$C$91,1))</f>
        <v>0.62</v>
      </c>
      <c r="O65" s="11" t="n">
        <f aca="false">IF((O$35-$C$24)&lt;0,0,Drivers!$C$90+($C$16-Drivers!$C$90)*MIN((O$35-$C$24)/Drivers!$C$91,1))</f>
        <v>0.62</v>
      </c>
      <c r="P65" s="11" t="n">
        <f aca="false">IF((P$35-$C$24)&lt;0,0,Drivers!$C$90+($C$16-Drivers!$C$90)*MIN((P$35-$C$24)/Drivers!$C$91,1))</f>
        <v>0.62</v>
      </c>
      <c r="Q65" s="11" t="n">
        <f aca="false">IF((Q$35-$C$24)&lt;0,0,Drivers!$C$90+($C$16-Drivers!$C$90)*MIN((Q$35-$C$24)/Drivers!$C$91,1))</f>
        <v>0.62</v>
      </c>
      <c r="R65" s="11" t="n">
        <f aca="false">IF((R$35-$C$24)&lt;0,0,Drivers!$C$90+($C$16-Drivers!$C$90)*MIN((R$35-$C$24)/Drivers!$C$91,1))</f>
        <v>0.62</v>
      </c>
      <c r="S65" s="11" t="n">
        <f aca="false">IF((S$35-$C$24)&lt;0,0,Drivers!$C$90+($C$16-Drivers!$C$90)*MIN((S$35-$C$24)/Drivers!$C$91,1))</f>
        <v>0.62</v>
      </c>
      <c r="T65" s="11" t="n">
        <f aca="false">IF((T$35-$C$24)&lt;0,0,Drivers!$C$90+($C$16-Drivers!$C$90)*MIN((T$35-$C$24)/Drivers!$C$91,1))</f>
        <v>0.62</v>
      </c>
      <c r="U65" s="11" t="n">
        <f aca="false">IF((U$35-$C$24)&lt;0,0,Drivers!$C$90+($C$16-Drivers!$C$90)*MIN((U$35-$C$24)/Drivers!$C$91,1))</f>
        <v>0.62</v>
      </c>
    </row>
    <row r="66" customFormat="false" ht="15" hidden="false" customHeight="false" outlineLevel="0" collapsed="false">
      <c r="A66" s="9" t="s">
        <v>355</v>
      </c>
      <c r="B66" s="35" t="s">
        <v>326</v>
      </c>
      <c r="C66" s="24" t="n">
        <f aca="false">Drivers!$C$85*C64*C65</f>
        <v>0.07584</v>
      </c>
      <c r="D66" s="24" t="n">
        <f aca="false">Drivers!$C$85*D64*D65</f>
        <v>0.33654</v>
      </c>
      <c r="E66" s="24" t="n">
        <f aca="false">Drivers!$C$85*E64*E65</f>
        <v>0.784944</v>
      </c>
      <c r="F66" s="24" t="n">
        <f aca="false">Drivers!$C$85*F64*F65</f>
        <v>1.392612</v>
      </c>
      <c r="G66" s="24" t="n">
        <f aca="false">Drivers!$C$85*G64*G65</f>
        <v>2.3882016</v>
      </c>
      <c r="H66" s="24" t="n">
        <f aca="false">Drivers!$C$85*H64*H65</f>
        <v>3.9056652</v>
      </c>
      <c r="I66" s="24" t="n">
        <f aca="false">Drivers!$C$85*I64*I65</f>
        <v>5.201676</v>
      </c>
      <c r="J66" s="24" t="n">
        <f aca="false">Drivers!$C$85*J64*J65</f>
        <v>6.531483</v>
      </c>
      <c r="K66" s="24" t="n">
        <f aca="false">Drivers!$C$85*K64*K65</f>
        <v>8.4159885</v>
      </c>
      <c r="L66" s="24" t="n">
        <f aca="false">Drivers!$C$85*L64*L65</f>
        <v>10.6267008</v>
      </c>
      <c r="M66" s="24" t="n">
        <f aca="false">Drivers!$C$85*M64*M65</f>
        <v>12.7734942</v>
      </c>
      <c r="N66" s="24" t="n">
        <f aca="false">Drivers!$C$85*N64*N65</f>
        <v>14.4772635</v>
      </c>
      <c r="O66" s="24" t="n">
        <f aca="false">Drivers!$C$85*O64*O65</f>
        <v>15.2046165</v>
      </c>
      <c r="P66" s="24" t="n">
        <f aca="false">Drivers!$C$85*P64*P65</f>
        <v>15.9496023</v>
      </c>
      <c r="Q66" s="24" t="n">
        <f aca="false">Drivers!$C$85*Q64*Q65</f>
        <v>16.318333536</v>
      </c>
      <c r="R66" s="24" t="n">
        <f aca="false">Drivers!$C$85*R64*R65</f>
        <v>16.25197072992</v>
      </c>
      <c r="S66" s="24" t="n">
        <f aca="false">Drivers!$C$85*S64*S65</f>
        <v>15.3059588080224</v>
      </c>
      <c r="T66" s="24" t="n">
        <f aca="false">Drivers!$C$85*T64*T65</f>
        <v>14.9613932437817</v>
      </c>
      <c r="U66" s="24" t="n">
        <f aca="false">Drivers!$C$85*U64*U65</f>
        <v>14.6301034464683</v>
      </c>
    </row>
    <row r="67" customFormat="false" ht="15" hidden="false" customHeight="false" outlineLevel="0" collapsed="false">
      <c r="A67" s="9" t="s">
        <v>356</v>
      </c>
      <c r="B67" s="35" t="s">
        <v>326</v>
      </c>
      <c r="C67" s="24" t="n">
        <f aca="false">Drivers!$D$92</f>
        <v>0.4</v>
      </c>
      <c r="D67" s="24" t="n">
        <f aca="false">Drivers!$E$92</f>
        <v>0.4</v>
      </c>
      <c r="E67" s="24" t="n">
        <f aca="false">Drivers!$F$92</f>
        <v>0.4</v>
      </c>
      <c r="F67" s="24" t="n">
        <f aca="false">Drivers!$G$92</f>
        <v>0.4</v>
      </c>
      <c r="G67" s="24" t="n">
        <f aca="false">Drivers!$H$92</f>
        <v>0.35</v>
      </c>
      <c r="H67" s="24" t="n">
        <f aca="false">Drivers!$I$92</f>
        <v>0.35</v>
      </c>
      <c r="I67" s="24" t="n">
        <f aca="false">Drivers!$J$92</f>
        <v>0.3</v>
      </c>
      <c r="J67" s="24" t="n">
        <f aca="false">Drivers!$K$92</f>
        <v>0.25</v>
      </c>
      <c r="K67" s="24" t="n">
        <f aca="false">Drivers!$C$93</f>
        <v>0.2</v>
      </c>
      <c r="L67" s="24" t="n">
        <f aca="false">Drivers!$C$93</f>
        <v>0.2</v>
      </c>
      <c r="M67" s="24" t="n">
        <f aca="false">Drivers!$C$93</f>
        <v>0.2</v>
      </c>
      <c r="N67" s="24" t="n">
        <f aca="false">Drivers!$C$93</f>
        <v>0.2</v>
      </c>
      <c r="O67" s="24" t="n">
        <f aca="false">Drivers!$C$93</f>
        <v>0.2</v>
      </c>
      <c r="P67" s="24" t="n">
        <f aca="false">Drivers!$C$93</f>
        <v>0.2</v>
      </c>
      <c r="Q67" s="24" t="n">
        <f aca="false">Drivers!$C$93</f>
        <v>0.2</v>
      </c>
      <c r="R67" s="24" t="n">
        <f aca="false">Drivers!$C$93</f>
        <v>0.2</v>
      </c>
      <c r="S67" s="24" t="n">
        <f aca="false">Drivers!$C$93</f>
        <v>0.2</v>
      </c>
      <c r="T67" s="24" t="n">
        <f aca="false">Drivers!$C$93</f>
        <v>0.2</v>
      </c>
      <c r="U67" s="24" t="n">
        <f aca="false">Drivers!$C$93</f>
        <v>0.2</v>
      </c>
    </row>
    <row r="68" customFormat="false" ht="15" hidden="false" customHeight="false" outlineLevel="0" collapsed="false">
      <c r="A68" s="3" t="s">
        <v>357</v>
      </c>
      <c r="B68" s="35" t="s">
        <v>326</v>
      </c>
      <c r="C68" s="29" t="n">
        <f aca="false">C66-C67</f>
        <v>-0.32416</v>
      </c>
      <c r="D68" s="29" t="n">
        <f aca="false">D66-D67</f>
        <v>-0.06346</v>
      </c>
      <c r="E68" s="29" t="n">
        <f aca="false">E66-E67</f>
        <v>0.384944</v>
      </c>
      <c r="F68" s="29" t="n">
        <f aca="false">F66-F67</f>
        <v>0.992612</v>
      </c>
      <c r="G68" s="29" t="n">
        <f aca="false">G66-G67</f>
        <v>2.0382016</v>
      </c>
      <c r="H68" s="29" t="n">
        <f aca="false">H66-H67</f>
        <v>3.5556652</v>
      </c>
      <c r="I68" s="29" t="n">
        <f aca="false">I66-I67</f>
        <v>4.901676</v>
      </c>
      <c r="J68" s="29" t="n">
        <f aca="false">J66-J67</f>
        <v>6.281483</v>
      </c>
      <c r="K68" s="29" t="n">
        <f aca="false">K66-K67</f>
        <v>8.2159885</v>
      </c>
      <c r="L68" s="29" t="n">
        <f aca="false">L66-L67</f>
        <v>10.4267008</v>
      </c>
      <c r="M68" s="29" t="n">
        <f aca="false">M66-M67</f>
        <v>12.5734942</v>
      </c>
      <c r="N68" s="29" t="n">
        <f aca="false">N66-N67</f>
        <v>14.2772635</v>
      </c>
      <c r="O68" s="29" t="n">
        <f aca="false">O66-O67</f>
        <v>15.0046165</v>
      </c>
      <c r="P68" s="29" t="n">
        <f aca="false">P66-P67</f>
        <v>15.7496023</v>
      </c>
      <c r="Q68" s="29" t="n">
        <f aca="false">Q66-Q67</f>
        <v>16.118333536</v>
      </c>
      <c r="R68" s="29" t="n">
        <f aca="false">R66-R67</f>
        <v>16.05197072992</v>
      </c>
      <c r="S68" s="29" t="n">
        <f aca="false">S66-S67</f>
        <v>15.1059588080224</v>
      </c>
      <c r="T68" s="29" t="n">
        <f aca="false">T66-T67</f>
        <v>14.7613932437817</v>
      </c>
      <c r="U68" s="29" t="n">
        <f aca="false">U66-U67</f>
        <v>14.4301034464683</v>
      </c>
    </row>
    <row r="69" customFormat="false" ht="15" hidden="false" customHeight="false" outlineLevel="0" collapsed="false">
      <c r="A69" s="3" t="s">
        <v>358</v>
      </c>
    </row>
    <row r="70" customFormat="false" ht="15" hidden="false" customHeight="false" outlineLevel="0" collapsed="false">
      <c r="A70" s="9" t="s">
        <v>359</v>
      </c>
      <c r="B70" s="35" t="s">
        <v>326</v>
      </c>
      <c r="C70" s="24" t="n">
        <f aca="false">Drivers!$C$107*Drivers!$C$108*IF((C$35-Drivers!$C$109)&lt;0,0,IF((C$35-Drivers!$C$109)&gt;=7,1,INDEX(Drivers!$D$86:$J$86,(C$35-Drivers!$C$109)+1)))*IF((C$35-Drivers!$C$109)&lt;Drivers!$C$87,1,Drivers!$C$88*Drivers!$C$89^((C$35-Drivers!$C$109)-Drivers!$C$87))</f>
        <v>0</v>
      </c>
      <c r="D70" s="24" t="n">
        <f aca="false">Drivers!$C$107*Drivers!$C$108*IF((D$35-Drivers!$C$109)&lt;0,0,IF((D$35-Drivers!$C$109)&gt;=7,1,INDEX(Drivers!$D$86:$J$86,(D$35-Drivers!$C$109)+1)))*IF((D$35-Drivers!$C$109)&lt;Drivers!$C$87,1,Drivers!$C$88*Drivers!$C$89^((D$35-Drivers!$C$109)-Drivers!$C$87))</f>
        <v>0</v>
      </c>
      <c r="E70" s="24" t="n">
        <f aca="false">Drivers!$C$107*Drivers!$C$108*IF((E$35-Drivers!$C$109)&lt;0,0,IF((E$35-Drivers!$C$109)&gt;=7,1,INDEX(Drivers!$D$86:$J$86,(E$35-Drivers!$C$109)+1)))*IF((E$35-Drivers!$C$109)&lt;Drivers!$C$87,1,Drivers!$C$88*Drivers!$C$89^((E$35-Drivers!$C$109)-Drivers!$C$87))</f>
        <v>0</v>
      </c>
      <c r="F70" s="24" t="n">
        <f aca="false">Drivers!$C$107*Drivers!$C$108*IF((F$35-Drivers!$C$109)&lt;0,0,IF((F$35-Drivers!$C$109)&gt;=7,1,INDEX(Drivers!$D$86:$J$86,(F$35-Drivers!$C$109)+1)))*IF((F$35-Drivers!$C$109)&lt;Drivers!$C$87,1,Drivers!$C$88*Drivers!$C$89^((F$35-Drivers!$C$109)-Drivers!$C$87))</f>
        <v>0</v>
      </c>
      <c r="G70" s="24" t="n">
        <f aca="false">Drivers!$C$107*Drivers!$C$108*IF((G$35-Drivers!$C$109)&lt;0,0,IF((G$35-Drivers!$C$109)&gt;=7,1,INDEX(Drivers!$D$86:$J$86,(G$35-Drivers!$C$109)+1)))*IF((G$35-Drivers!$C$109)&lt;Drivers!$C$87,1,Drivers!$C$88*Drivers!$C$89^((G$35-Drivers!$C$109)-Drivers!$C$87))</f>
        <v>0.016</v>
      </c>
      <c r="H70" s="24" t="n">
        <f aca="false">Drivers!$C$107*Drivers!$C$108*IF((H$35-Drivers!$C$109)&lt;0,0,IF((H$35-Drivers!$C$109)&gt;=7,1,INDEX(Drivers!$D$86:$J$86,(H$35-Drivers!$C$109)+1)))*IF((H$35-Drivers!$C$109)&lt;Drivers!$C$87,1,Drivers!$C$88*Drivers!$C$89^((H$35-Drivers!$C$109)-Drivers!$C$87))</f>
        <v>0.05</v>
      </c>
      <c r="I70" s="24" t="n">
        <f aca="false">Drivers!$C$107*Drivers!$C$108*IF((I$35-Drivers!$C$109)&lt;0,0,IF((I$35-Drivers!$C$109)&gt;=7,1,INDEX(Drivers!$D$86:$J$86,(I$35-Drivers!$C$109)+1)))*IF((I$35-Drivers!$C$109)&lt;Drivers!$C$87,1,Drivers!$C$88*Drivers!$C$89^((I$35-Drivers!$C$109)-Drivers!$C$87))</f>
        <v>0.09</v>
      </c>
      <c r="J70" s="24" t="n">
        <f aca="false">Drivers!$C$107*Drivers!$C$108*IF((J$35-Drivers!$C$109)&lt;0,0,IF((J$35-Drivers!$C$109)&gt;=7,1,INDEX(Drivers!$D$86:$J$86,(J$35-Drivers!$C$109)+1)))*IF((J$35-Drivers!$C$109)&lt;Drivers!$C$87,1,Drivers!$C$88*Drivers!$C$89^((J$35-Drivers!$C$109)-Drivers!$C$87))</f>
        <v>0.13</v>
      </c>
      <c r="K70" s="24" t="n">
        <f aca="false">Drivers!$C$107*Drivers!$C$108*IF((K$35-Drivers!$C$109)&lt;0,0,IF((K$35-Drivers!$C$109)&gt;=7,1,INDEX(Drivers!$D$86:$J$86,(K$35-Drivers!$C$109)+1)))*IF((K$35-Drivers!$C$109)&lt;Drivers!$C$87,1,Drivers!$C$88*Drivers!$C$89^((K$35-Drivers!$C$109)-Drivers!$C$87))</f>
        <v>0.164</v>
      </c>
      <c r="L70" s="24" t="n">
        <f aca="false">Drivers!$C$107*Drivers!$C$108*IF((L$35-Drivers!$C$109)&lt;0,0,IF((L$35-Drivers!$C$109)&gt;=7,1,INDEX(Drivers!$D$86:$J$86,(L$35-Drivers!$C$109)+1)))*IF((L$35-Drivers!$C$109)&lt;Drivers!$C$87,1,Drivers!$C$88*Drivers!$C$89^((L$35-Drivers!$C$109)-Drivers!$C$87))</f>
        <v>0.186</v>
      </c>
      <c r="M70" s="24" t="n">
        <f aca="false">Drivers!$C$107*Drivers!$C$108*IF((M$35-Drivers!$C$109)&lt;0,0,IF((M$35-Drivers!$C$109)&gt;=7,1,INDEX(Drivers!$D$86:$J$86,(M$35-Drivers!$C$109)+1)))*IF((M$35-Drivers!$C$109)&lt;Drivers!$C$87,1,Drivers!$C$88*Drivers!$C$89^((M$35-Drivers!$C$109)-Drivers!$C$87))</f>
        <v>0.2</v>
      </c>
      <c r="N70" s="24" t="n">
        <f aca="false">Drivers!$C$107*Drivers!$C$108*IF((N$35-Drivers!$C$109)&lt;0,0,IF((N$35-Drivers!$C$109)&gt;=7,1,INDEX(Drivers!$D$86:$J$86,(N$35-Drivers!$C$109)+1)))*IF((N$35-Drivers!$C$109)&lt;Drivers!$C$87,1,Drivers!$C$88*Drivers!$C$89^((N$35-Drivers!$C$109)-Drivers!$C$87))</f>
        <v>0.2</v>
      </c>
      <c r="O70" s="24" t="n">
        <f aca="false">Drivers!$C$107*Drivers!$C$108*IF((O$35-Drivers!$C$109)&lt;0,0,IF((O$35-Drivers!$C$109)&gt;=7,1,INDEX(Drivers!$D$86:$J$86,(O$35-Drivers!$C$109)+1)))*IF((O$35-Drivers!$C$109)&lt;Drivers!$C$87,1,Drivers!$C$88*Drivers!$C$89^((O$35-Drivers!$C$109)-Drivers!$C$87))</f>
        <v>0.2</v>
      </c>
      <c r="P70" s="24" t="n">
        <f aca="false">Drivers!$C$107*Drivers!$C$108*IF((P$35-Drivers!$C$109)&lt;0,0,IF((P$35-Drivers!$C$109)&gt;=7,1,INDEX(Drivers!$D$86:$J$86,(P$35-Drivers!$C$109)+1)))*IF((P$35-Drivers!$C$109)&lt;Drivers!$C$87,1,Drivers!$C$88*Drivers!$C$89^((P$35-Drivers!$C$109)-Drivers!$C$87))</f>
        <v>0.2</v>
      </c>
      <c r="Q70" s="24" t="n">
        <f aca="false">Drivers!$C$107*Drivers!$C$108*IF((Q$35-Drivers!$C$109)&lt;0,0,IF((Q$35-Drivers!$C$109)&gt;=7,1,INDEX(Drivers!$D$86:$J$86,(Q$35-Drivers!$C$109)+1)))*IF((Q$35-Drivers!$C$109)&lt;Drivers!$C$87,1,Drivers!$C$88*Drivers!$C$89^((Q$35-Drivers!$C$109)-Drivers!$C$87))</f>
        <v>0.2</v>
      </c>
      <c r="R70" s="24" t="n">
        <f aca="false">Drivers!$C$107*Drivers!$C$108*IF((R$35-Drivers!$C$109)&lt;0,0,IF((R$35-Drivers!$C$109)&gt;=7,1,INDEX(Drivers!$D$86:$J$86,(R$35-Drivers!$C$109)+1)))*IF((R$35-Drivers!$C$109)&lt;Drivers!$C$87,1,Drivers!$C$88*Drivers!$C$89^((R$35-Drivers!$C$109)-Drivers!$C$87))</f>
        <v>0.2</v>
      </c>
      <c r="S70" s="24" t="n">
        <f aca="false">Drivers!$C$107*Drivers!$C$108*IF((S$35-Drivers!$C$109)&lt;0,0,IF((S$35-Drivers!$C$109)&gt;=7,1,INDEX(Drivers!$D$86:$J$86,(S$35-Drivers!$C$109)+1)))*IF((S$35-Drivers!$C$109)&lt;Drivers!$C$87,1,Drivers!$C$88*Drivers!$C$89^((S$35-Drivers!$C$109)-Drivers!$C$87))</f>
        <v>0.16</v>
      </c>
      <c r="T70" s="24" t="n">
        <f aca="false">Drivers!$C$107*Drivers!$C$108*IF((T$35-Drivers!$C$109)&lt;0,0,IF((T$35-Drivers!$C$109)&gt;=7,1,INDEX(Drivers!$D$86:$J$86,(T$35-Drivers!$C$109)+1)))*IF((T$35-Drivers!$C$109)&lt;Drivers!$C$87,1,Drivers!$C$88*Drivers!$C$89^((T$35-Drivers!$C$109)-Drivers!$C$87))</f>
        <v>0.1552</v>
      </c>
      <c r="U70" s="24" t="n">
        <f aca="false">Drivers!$C$107*Drivers!$C$108*IF((U$35-Drivers!$C$109)&lt;0,0,IF((U$35-Drivers!$C$109)&gt;=7,1,INDEX(Drivers!$D$86:$J$86,(U$35-Drivers!$C$109)+1)))*IF((U$35-Drivers!$C$109)&lt;Drivers!$C$87,1,Drivers!$C$88*Drivers!$C$89^((U$35-Drivers!$C$109)-Drivers!$C$87))</f>
        <v>0.150544</v>
      </c>
    </row>
    <row r="71" customFormat="false" ht="15" hidden="false" customHeight="false" outlineLevel="0" collapsed="false">
      <c r="A71" s="9" t="s">
        <v>360</v>
      </c>
      <c r="B71" s="35" t="s">
        <v>326</v>
      </c>
      <c r="C71" s="24" t="n">
        <f aca="false">Drivers!$D$111</f>
        <v>0.12</v>
      </c>
      <c r="D71" s="24" t="n">
        <f aca="false">Drivers!$E$111+Drivers!$C$112*Drivers!$C$113/3</f>
        <v>0.190833333333333</v>
      </c>
      <c r="E71" s="24" t="n">
        <f aca="false">Drivers!$F$111+Drivers!$C$112*Drivers!$C$113/3</f>
        <v>0.190833333333333</v>
      </c>
      <c r="F71" s="24" t="n">
        <f aca="false">Drivers!$G$111+Drivers!$C$112*Drivers!$C$113/3</f>
        <v>0.140833333333333</v>
      </c>
      <c r="G71" s="24" t="n">
        <f aca="false">Drivers!$H$111</f>
        <v>0.08</v>
      </c>
      <c r="H71" s="24" t="n">
        <f aca="false">0</f>
        <v>0</v>
      </c>
      <c r="I71" s="24" t="n">
        <f aca="false">0</f>
        <v>0</v>
      </c>
      <c r="J71" s="24" t="n">
        <f aca="false">0</f>
        <v>0</v>
      </c>
      <c r="K71" s="24" t="n">
        <f aca="false">0</f>
        <v>0</v>
      </c>
      <c r="L71" s="24" t="n">
        <f aca="false">0</f>
        <v>0</v>
      </c>
      <c r="M71" s="24" t="n">
        <f aca="false">0</f>
        <v>0</v>
      </c>
      <c r="N71" s="24" t="n">
        <f aca="false">0</f>
        <v>0</v>
      </c>
      <c r="O71" s="24" t="n">
        <f aca="false">0</f>
        <v>0</v>
      </c>
      <c r="P71" s="24" t="n">
        <f aca="false">0</f>
        <v>0</v>
      </c>
      <c r="Q71" s="24" t="n">
        <f aca="false">0</f>
        <v>0</v>
      </c>
      <c r="R71" s="24" t="n">
        <f aca="false">0</f>
        <v>0</v>
      </c>
      <c r="S71" s="24" t="n">
        <f aca="false">0</f>
        <v>0</v>
      </c>
      <c r="T71" s="24" t="n">
        <f aca="false">0</f>
        <v>0</v>
      </c>
      <c r="U71" s="24" t="n">
        <f aca="false">0</f>
        <v>0</v>
      </c>
    </row>
    <row r="72" customFormat="false" ht="15" hidden="false" customHeight="false" outlineLevel="0" collapsed="false">
      <c r="A72" s="3" t="s">
        <v>361</v>
      </c>
      <c r="B72" s="35" t="s">
        <v>326</v>
      </c>
      <c r="C72" s="29" t="n">
        <f aca="false">C70*IF((C$35-Drivers!$C$109)&lt;0,0,0.1+(Drivers!$C$110-0.1)*MIN((C$35-Drivers!$C$109)/5,1))-C71</f>
        <v>-0.12</v>
      </c>
      <c r="D72" s="29" t="n">
        <f aca="false">D70*IF((D$35-Drivers!$C$109)&lt;0,0,0.1+(Drivers!$C$110-0.1)*MIN((D$35-Drivers!$C$109)/5,1))-D71</f>
        <v>-0.190833333333333</v>
      </c>
      <c r="E72" s="29" t="n">
        <f aca="false">E70*IF((E$35-Drivers!$C$109)&lt;0,0,0.1+(Drivers!$C$110-0.1)*MIN((E$35-Drivers!$C$109)/5,1))-E71</f>
        <v>-0.190833333333333</v>
      </c>
      <c r="F72" s="29" t="n">
        <f aca="false">F70*IF((F$35-Drivers!$C$109)&lt;0,0,0.1+(Drivers!$C$110-0.1)*MIN((F$35-Drivers!$C$109)/5,1))-F71</f>
        <v>-0.140833333333333</v>
      </c>
      <c r="G72" s="29" t="n">
        <f aca="false">G70*IF((G$35-Drivers!$C$109)&lt;0,0,0.1+(Drivers!$C$110-0.1)*MIN((G$35-Drivers!$C$109)/5,1))-G71</f>
        <v>-0.0784</v>
      </c>
      <c r="H72" s="29" t="n">
        <f aca="false">H70*IF((H$35-Drivers!$C$109)&lt;0,0,0.1+(Drivers!$C$110-0.1)*MIN((H$35-Drivers!$C$109)/5,1))-H71</f>
        <v>0.0085</v>
      </c>
      <c r="I72" s="29" t="n">
        <f aca="false">I70*IF((I$35-Drivers!$C$109)&lt;0,0,0.1+(Drivers!$C$110-0.1)*MIN((I$35-Drivers!$C$109)/5,1))-I71</f>
        <v>0.0216</v>
      </c>
      <c r="J72" s="29" t="n">
        <f aca="false">J70*IF((J$35-Drivers!$C$109)&lt;0,0,0.1+(Drivers!$C$110-0.1)*MIN((J$35-Drivers!$C$109)/5,1))-J71</f>
        <v>0.0403</v>
      </c>
      <c r="K72" s="29" t="n">
        <f aca="false">K70*IF((K$35-Drivers!$C$109)&lt;0,0,0.1+(Drivers!$C$110-0.1)*MIN((K$35-Drivers!$C$109)/5,1))-K71</f>
        <v>0.06232</v>
      </c>
      <c r="L72" s="29" t="n">
        <f aca="false">L70*IF((L$35-Drivers!$C$109)&lt;0,0,0.1+(Drivers!$C$110-0.1)*MIN((L$35-Drivers!$C$109)/5,1))-L71</f>
        <v>0.0837</v>
      </c>
      <c r="M72" s="29" t="n">
        <f aca="false">M70*IF((M$35-Drivers!$C$109)&lt;0,0,0.1+(Drivers!$C$110-0.1)*MIN((M$35-Drivers!$C$109)/5,1))-M71</f>
        <v>0.09</v>
      </c>
      <c r="N72" s="29" t="n">
        <f aca="false">N70*IF((N$35-Drivers!$C$109)&lt;0,0,0.1+(Drivers!$C$110-0.1)*MIN((N$35-Drivers!$C$109)/5,1))-N71</f>
        <v>0.09</v>
      </c>
      <c r="O72" s="29" t="n">
        <f aca="false">O70*IF((O$35-Drivers!$C$109)&lt;0,0,0.1+(Drivers!$C$110-0.1)*MIN((O$35-Drivers!$C$109)/5,1))-O71</f>
        <v>0.09</v>
      </c>
      <c r="P72" s="29" t="n">
        <f aca="false">P70*IF((P$35-Drivers!$C$109)&lt;0,0,0.1+(Drivers!$C$110-0.1)*MIN((P$35-Drivers!$C$109)/5,1))-P71</f>
        <v>0.09</v>
      </c>
      <c r="Q72" s="29" t="n">
        <f aca="false">Q70*IF((Q$35-Drivers!$C$109)&lt;0,0,0.1+(Drivers!$C$110-0.1)*MIN((Q$35-Drivers!$C$109)/5,1))-Q71</f>
        <v>0.09</v>
      </c>
      <c r="R72" s="29" t="n">
        <f aca="false">R70*IF((R$35-Drivers!$C$109)&lt;0,0,0.1+(Drivers!$C$110-0.1)*MIN((R$35-Drivers!$C$109)/5,1))-R71</f>
        <v>0.09</v>
      </c>
      <c r="S72" s="29" t="n">
        <f aca="false">S70*IF((S$35-Drivers!$C$109)&lt;0,0,0.1+(Drivers!$C$110-0.1)*MIN((S$35-Drivers!$C$109)/5,1))-S71</f>
        <v>0.072</v>
      </c>
      <c r="T72" s="29" t="n">
        <f aca="false">T70*IF((T$35-Drivers!$C$109)&lt;0,0,0.1+(Drivers!$C$110-0.1)*MIN((T$35-Drivers!$C$109)/5,1))-T71</f>
        <v>0.06984</v>
      </c>
      <c r="U72" s="29" t="n">
        <f aca="false">U70*IF((U$35-Drivers!$C$109)&lt;0,0,0.1+(Drivers!$C$110-0.1)*MIN((U$35-Drivers!$C$109)/5,1))-U71</f>
        <v>0.0677448</v>
      </c>
    </row>
    <row r="73" customFormat="false" ht="15" hidden="false" customHeight="false" outlineLevel="0" collapsed="false">
      <c r="A73" s="9" t="s">
        <v>362</v>
      </c>
      <c r="B73" s="35" t="s">
        <v>326</v>
      </c>
      <c r="C73" s="24" t="n">
        <f aca="false">Drivers!$C$114*Drivers!$C$115*IF((C$35-Drivers!$C$116)&lt;0,0,MIN(((C$35-Drivers!$C$116)+1)/5,1))</f>
        <v>0</v>
      </c>
      <c r="D73" s="24" t="n">
        <f aca="false">Drivers!$C$114*Drivers!$C$115*IF((D$35-Drivers!$C$116)&lt;0,0,MIN(((D$35-Drivers!$C$116)+1)/5,1))</f>
        <v>0.044</v>
      </c>
      <c r="E73" s="24" t="n">
        <f aca="false">Drivers!$C$114*Drivers!$C$115*IF((E$35-Drivers!$C$116)&lt;0,0,MIN(((E$35-Drivers!$C$116)+1)/5,1))</f>
        <v>0.088</v>
      </c>
      <c r="F73" s="24" t="n">
        <f aca="false">Drivers!$C$114*Drivers!$C$115*IF((F$35-Drivers!$C$116)&lt;0,0,MIN(((F$35-Drivers!$C$116)+1)/5,1))</f>
        <v>0.132</v>
      </c>
      <c r="G73" s="24" t="n">
        <f aca="false">Drivers!$C$114*Drivers!$C$115*IF((G$35-Drivers!$C$116)&lt;0,0,MIN(((G$35-Drivers!$C$116)+1)/5,1))</f>
        <v>0.176</v>
      </c>
      <c r="H73" s="24" t="n">
        <f aca="false">Drivers!$C$114*Drivers!$C$115*IF((H$35-Drivers!$C$116)&lt;0,0,MIN(((H$35-Drivers!$C$116)+1)/5,1))</f>
        <v>0.22</v>
      </c>
      <c r="I73" s="24" t="n">
        <f aca="false">Drivers!$C$114*Drivers!$C$115*IF((I$35-Drivers!$C$116)&lt;0,0,MIN(((I$35-Drivers!$C$116)+1)/5,1))</f>
        <v>0.22</v>
      </c>
      <c r="J73" s="24" t="n">
        <f aca="false">Drivers!$C$114*Drivers!$C$115*IF((J$35-Drivers!$C$116)&lt;0,0,MIN(((J$35-Drivers!$C$116)+1)/5,1))</f>
        <v>0.22</v>
      </c>
      <c r="K73" s="24" t="n">
        <f aca="false">Drivers!$C$114*Drivers!$C$115*IF((K$35-Drivers!$C$116)&lt;0,0,MIN(((K$35-Drivers!$C$116)+1)/5,1))</f>
        <v>0.22</v>
      </c>
      <c r="L73" s="24" t="n">
        <f aca="false">Drivers!$C$114*Drivers!$C$115*IF((L$35-Drivers!$C$116)&lt;0,0,MIN(((L$35-Drivers!$C$116)+1)/5,1))</f>
        <v>0.22</v>
      </c>
      <c r="M73" s="24" t="n">
        <f aca="false">Drivers!$C$114*Drivers!$C$115*IF((M$35-Drivers!$C$116)&lt;0,0,MIN(((M$35-Drivers!$C$116)+1)/5,1))</f>
        <v>0.22</v>
      </c>
      <c r="N73" s="24" t="n">
        <f aca="false">Drivers!$C$114*Drivers!$C$115*IF((N$35-Drivers!$C$116)&lt;0,0,MIN(((N$35-Drivers!$C$116)+1)/5,1))</f>
        <v>0.22</v>
      </c>
      <c r="O73" s="24" t="n">
        <f aca="false">Drivers!$C$114*Drivers!$C$115*IF((O$35-Drivers!$C$116)&lt;0,0,MIN(((O$35-Drivers!$C$116)+1)/5,1))</f>
        <v>0.22</v>
      </c>
      <c r="P73" s="24" t="n">
        <f aca="false">Drivers!$C$114*Drivers!$C$115*IF((P$35-Drivers!$C$116)&lt;0,0,MIN(((P$35-Drivers!$C$116)+1)/5,1))</f>
        <v>0.22</v>
      </c>
      <c r="Q73" s="24" t="n">
        <f aca="false">Drivers!$C$114*Drivers!$C$115*IF((Q$35-Drivers!$C$116)&lt;0,0,MIN(((Q$35-Drivers!$C$116)+1)/5,1))</f>
        <v>0.22</v>
      </c>
      <c r="R73" s="24" t="n">
        <f aca="false">Drivers!$C$114*Drivers!$C$115*IF((R$35-Drivers!$C$116)&lt;0,0,MIN(((R$35-Drivers!$C$116)+1)/5,1))</f>
        <v>0.22</v>
      </c>
      <c r="S73" s="24" t="n">
        <f aca="false">Drivers!$C$114*Drivers!$C$115*IF((S$35-Drivers!$C$116)&lt;0,0,MIN(((S$35-Drivers!$C$116)+1)/5,1))</f>
        <v>0.22</v>
      </c>
      <c r="T73" s="24" t="n">
        <f aca="false">Drivers!$C$114*Drivers!$C$115*IF((T$35-Drivers!$C$116)&lt;0,0,MIN(((T$35-Drivers!$C$116)+1)/5,1))</f>
        <v>0.22</v>
      </c>
      <c r="U73" s="24" t="n">
        <f aca="false">Drivers!$C$114*Drivers!$C$115*IF((U$35-Drivers!$C$116)&lt;0,0,MIN(((U$35-Drivers!$C$116)+1)/5,1))</f>
        <v>0.22</v>
      </c>
    </row>
    <row r="74" customFormat="false" ht="15" hidden="false" customHeight="false" outlineLevel="0" collapsed="false">
      <c r="A74" s="9" t="s">
        <v>363</v>
      </c>
      <c r="B74" s="35" t="s">
        <v>326</v>
      </c>
      <c r="C74" s="24" t="n">
        <f aca="false">Drivers!$C$120*Drivers!$C$121*IF((C$35-Drivers!$C$122)&lt;0,0,MIN(((C$35-Drivers!$C$122)+1)/5,1))</f>
        <v>0</v>
      </c>
      <c r="D74" s="24" t="n">
        <f aca="false">Drivers!$C$120*Drivers!$C$121*IF((D$35-Drivers!$C$122)&lt;0,0,MIN(((D$35-Drivers!$C$122)+1)/5,1))</f>
        <v>0</v>
      </c>
      <c r="E74" s="24" t="n">
        <f aca="false">Drivers!$C$120*Drivers!$C$121*IF((E$35-Drivers!$C$122)&lt;0,0,MIN(((E$35-Drivers!$C$122)+1)/5,1))</f>
        <v>0</v>
      </c>
      <c r="F74" s="24" t="n">
        <f aca="false">Drivers!$C$120*Drivers!$C$121*IF((F$35-Drivers!$C$122)&lt;0,0,MIN(((F$35-Drivers!$C$122)+1)/5,1))</f>
        <v>0</v>
      </c>
      <c r="G74" s="24" t="n">
        <f aca="false">Drivers!$C$120*Drivers!$C$121*IF((G$35-Drivers!$C$122)&lt;0,0,MIN(((G$35-Drivers!$C$122)+1)/5,1))</f>
        <v>0.016</v>
      </c>
      <c r="H74" s="24" t="n">
        <f aca="false">Drivers!$C$120*Drivers!$C$121*IF((H$35-Drivers!$C$122)&lt;0,0,MIN(((H$35-Drivers!$C$122)+1)/5,1))</f>
        <v>0.032</v>
      </c>
      <c r="I74" s="24" t="n">
        <f aca="false">Drivers!$C$120*Drivers!$C$121*IF((I$35-Drivers!$C$122)&lt;0,0,MIN(((I$35-Drivers!$C$122)+1)/5,1))</f>
        <v>0.048</v>
      </c>
      <c r="J74" s="24" t="n">
        <f aca="false">Drivers!$C$120*Drivers!$C$121*IF((J$35-Drivers!$C$122)&lt;0,0,MIN(((J$35-Drivers!$C$122)+1)/5,1))</f>
        <v>0.064</v>
      </c>
      <c r="K74" s="24" t="n">
        <f aca="false">Drivers!$C$120*Drivers!$C$121*IF((K$35-Drivers!$C$122)&lt;0,0,MIN(((K$35-Drivers!$C$122)+1)/5,1))</f>
        <v>0.08</v>
      </c>
      <c r="L74" s="24" t="n">
        <f aca="false">Drivers!$C$120*Drivers!$C$121*IF((L$35-Drivers!$C$122)&lt;0,0,MIN(((L$35-Drivers!$C$122)+1)/5,1))</f>
        <v>0.08</v>
      </c>
      <c r="M74" s="24" t="n">
        <f aca="false">Drivers!$C$120*Drivers!$C$121*IF((M$35-Drivers!$C$122)&lt;0,0,MIN(((M$35-Drivers!$C$122)+1)/5,1))</f>
        <v>0.08</v>
      </c>
      <c r="N74" s="24" t="n">
        <f aca="false">Drivers!$C$120*Drivers!$C$121*IF((N$35-Drivers!$C$122)&lt;0,0,MIN(((N$35-Drivers!$C$122)+1)/5,1))</f>
        <v>0.08</v>
      </c>
      <c r="O74" s="24" t="n">
        <f aca="false">Drivers!$C$120*Drivers!$C$121*IF((O$35-Drivers!$C$122)&lt;0,0,MIN(((O$35-Drivers!$C$122)+1)/5,1))</f>
        <v>0.08</v>
      </c>
      <c r="P74" s="24" t="n">
        <f aca="false">Drivers!$C$120*Drivers!$C$121*IF((P$35-Drivers!$C$122)&lt;0,0,MIN(((P$35-Drivers!$C$122)+1)/5,1))</f>
        <v>0.08</v>
      </c>
      <c r="Q74" s="24" t="n">
        <f aca="false">Drivers!$C$120*Drivers!$C$121*IF((Q$35-Drivers!$C$122)&lt;0,0,MIN(((Q$35-Drivers!$C$122)+1)/5,1))</f>
        <v>0.08</v>
      </c>
      <c r="R74" s="24" t="n">
        <f aca="false">Drivers!$C$120*Drivers!$C$121*IF((R$35-Drivers!$C$122)&lt;0,0,MIN(((R$35-Drivers!$C$122)+1)/5,1))</f>
        <v>0.08</v>
      </c>
      <c r="S74" s="24" t="n">
        <f aca="false">Drivers!$C$120*Drivers!$C$121*IF((S$35-Drivers!$C$122)&lt;0,0,MIN(((S$35-Drivers!$C$122)+1)/5,1))</f>
        <v>0.08</v>
      </c>
      <c r="T74" s="24" t="n">
        <f aca="false">Drivers!$C$120*Drivers!$C$121*IF((T$35-Drivers!$C$122)&lt;0,0,MIN(((T$35-Drivers!$C$122)+1)/5,1))</f>
        <v>0.08</v>
      </c>
      <c r="U74" s="24" t="n">
        <f aca="false">Drivers!$C$120*Drivers!$C$121*IF((U$35-Drivers!$C$122)&lt;0,0,MIN(((U$35-Drivers!$C$122)+1)/5,1))</f>
        <v>0.08</v>
      </c>
    </row>
    <row r="75" customFormat="false" ht="15" hidden="false" customHeight="false" outlineLevel="0" collapsed="false">
      <c r="A75" s="9" t="s">
        <v>364</v>
      </c>
      <c r="B75" s="35" t="s">
        <v>326</v>
      </c>
      <c r="C75" s="24" t="n">
        <f aca="false">Drivers!$C$125*Drivers!$C$126*IF((C$35-Drivers!$C$127)&lt;0,0,MIN(((C$35-Drivers!$C$127)+1)/5,1))*Drivers!$C$128</f>
        <v>0</v>
      </c>
      <c r="D75" s="24" t="n">
        <f aca="false">Drivers!$C$125*Drivers!$C$126*IF((D$35-Drivers!$C$127)&lt;0,0,MIN(((D$35-Drivers!$C$127)+1)/5,1))*Drivers!$C$128</f>
        <v>0</v>
      </c>
      <c r="E75" s="24" t="n">
        <f aca="false">Drivers!$C$125*Drivers!$C$126*IF((E$35-Drivers!$C$127)&lt;0,0,MIN(((E$35-Drivers!$C$127)+1)/5,1))*Drivers!$C$128</f>
        <v>0</v>
      </c>
      <c r="F75" s="24" t="n">
        <f aca="false">Drivers!$C$125*Drivers!$C$126*IF((F$35-Drivers!$C$127)&lt;0,0,MIN(((F$35-Drivers!$C$127)+1)/5,1))*Drivers!$C$128</f>
        <v>0</v>
      </c>
      <c r="G75" s="24" t="n">
        <f aca="false">Drivers!$C$125*Drivers!$C$126*IF((G$35-Drivers!$C$127)&lt;0,0,MIN(((G$35-Drivers!$C$127)+1)/5,1))*Drivers!$C$128</f>
        <v>0.0016</v>
      </c>
      <c r="H75" s="24" t="n">
        <f aca="false">Drivers!$C$125*Drivers!$C$126*IF((H$35-Drivers!$C$127)&lt;0,0,MIN(((H$35-Drivers!$C$127)+1)/5,1))*Drivers!$C$128</f>
        <v>0.0032</v>
      </c>
      <c r="I75" s="24" t="n">
        <f aca="false">Drivers!$C$125*Drivers!$C$126*IF((I$35-Drivers!$C$127)&lt;0,0,MIN(((I$35-Drivers!$C$127)+1)/5,1))*Drivers!$C$128</f>
        <v>0.0048</v>
      </c>
      <c r="J75" s="24" t="n">
        <f aca="false">Drivers!$C$125*Drivers!$C$126*IF((J$35-Drivers!$C$127)&lt;0,0,MIN(((J$35-Drivers!$C$127)+1)/5,1))*Drivers!$C$128</f>
        <v>0.0064</v>
      </c>
      <c r="K75" s="24" t="n">
        <f aca="false">Drivers!$C$125*Drivers!$C$126*IF((K$35-Drivers!$C$127)&lt;0,0,MIN(((K$35-Drivers!$C$127)+1)/5,1))*Drivers!$C$128</f>
        <v>0.008</v>
      </c>
      <c r="L75" s="24" t="n">
        <f aca="false">Drivers!$C$125*Drivers!$C$126*IF((L$35-Drivers!$C$127)&lt;0,0,MIN(((L$35-Drivers!$C$127)+1)/5,1))*Drivers!$C$128</f>
        <v>0.008</v>
      </c>
      <c r="M75" s="24" t="n">
        <f aca="false">Drivers!$C$125*Drivers!$C$126*IF((M$35-Drivers!$C$127)&lt;0,0,MIN(((M$35-Drivers!$C$127)+1)/5,1))*Drivers!$C$128</f>
        <v>0.008</v>
      </c>
      <c r="N75" s="24" t="n">
        <f aca="false">Drivers!$C$125*Drivers!$C$126*IF((N$35-Drivers!$C$127)&lt;0,0,MIN(((N$35-Drivers!$C$127)+1)/5,1))*Drivers!$C$128</f>
        <v>0.008</v>
      </c>
      <c r="O75" s="24" t="n">
        <f aca="false">Drivers!$C$125*Drivers!$C$126*IF((O$35-Drivers!$C$127)&lt;0,0,MIN(((O$35-Drivers!$C$127)+1)/5,1))*Drivers!$C$128</f>
        <v>0.008</v>
      </c>
      <c r="P75" s="24" t="n">
        <f aca="false">Drivers!$C$125*Drivers!$C$126*IF((P$35-Drivers!$C$127)&lt;0,0,MIN(((P$35-Drivers!$C$127)+1)/5,1))*Drivers!$C$128</f>
        <v>0.008</v>
      </c>
      <c r="Q75" s="24" t="n">
        <f aca="false">Drivers!$C$125*Drivers!$C$126*IF((Q$35-Drivers!$C$127)&lt;0,0,MIN(((Q$35-Drivers!$C$127)+1)/5,1))*Drivers!$C$128</f>
        <v>0.008</v>
      </c>
      <c r="R75" s="24" t="n">
        <f aca="false">Drivers!$C$125*Drivers!$C$126*IF((R$35-Drivers!$C$127)&lt;0,0,MIN(((R$35-Drivers!$C$127)+1)/5,1))*Drivers!$C$128</f>
        <v>0.008</v>
      </c>
      <c r="S75" s="24" t="n">
        <f aca="false">Drivers!$C$125*Drivers!$C$126*IF((S$35-Drivers!$C$127)&lt;0,0,MIN(((S$35-Drivers!$C$127)+1)/5,1))*Drivers!$C$128</f>
        <v>0.008</v>
      </c>
      <c r="T75" s="24" t="n">
        <f aca="false">Drivers!$C$125*Drivers!$C$126*IF((T$35-Drivers!$C$127)&lt;0,0,MIN(((T$35-Drivers!$C$127)+1)/5,1))*Drivers!$C$128</f>
        <v>0.008</v>
      </c>
      <c r="U75" s="24" t="n">
        <f aca="false">Drivers!$C$125*Drivers!$C$126*IF((U$35-Drivers!$C$127)&lt;0,0,MIN(((U$35-Drivers!$C$127)+1)/5,1))*Drivers!$C$128</f>
        <v>0.008</v>
      </c>
    </row>
    <row r="76" customFormat="false" ht="15" hidden="false" customHeight="false" outlineLevel="0" collapsed="false">
      <c r="A76" s="3" t="s">
        <v>365</v>
      </c>
      <c r="B76" s="35" t="s">
        <v>326</v>
      </c>
      <c r="C76" s="29" t="n">
        <f aca="false">C73*Drivers!$C$117+Drivers!$C$114*(Drivers!$C$118*(C$35=Drivers!$C$116)+Drivers!$C$119*(C$35=Drivers!$C$116+3))+C74*Drivers!$C$123-Drivers!$C$124*Drivers!$C$114*AND(C$35&gt;=2027,C$35&lt;=2030)+C75</f>
        <v>-0.044</v>
      </c>
      <c r="D76" s="29" t="n">
        <f aca="false">D73*Drivers!$C$117+Drivers!$C$114*(Drivers!$C$118*(D$35=Drivers!$C$116)+Drivers!$C$119*(D$35=Drivers!$C$116+3))+D74*Drivers!$C$123-Drivers!$C$124*Drivers!$C$114*AND(D$35&gt;=2027,D$35&lt;=2030)+D75</f>
        <v>0.0231</v>
      </c>
      <c r="E76" s="29" t="n">
        <f aca="false">E73*Drivers!$C$117+Drivers!$C$114*(Drivers!$C$118*(E$35=Drivers!$C$116)+Drivers!$C$119*(E$35=Drivers!$C$116+3))+E74*Drivers!$C$123-Drivers!$C$124*Drivers!$C$114*AND(E$35&gt;=2027,E$35&lt;=2030)+E75</f>
        <v>-0.0308</v>
      </c>
      <c r="F76" s="29" t="n">
        <f aca="false">F73*Drivers!$C$117+Drivers!$C$114*(Drivers!$C$118*(F$35=Drivers!$C$116)+Drivers!$C$119*(F$35=Drivers!$C$116+3))+F74*Drivers!$C$123-Drivers!$C$124*Drivers!$C$114*AND(F$35&gt;=2027,F$35&lt;=2030)+F75</f>
        <v>-0.0242</v>
      </c>
      <c r="G76" s="29" t="n">
        <f aca="false">G73*Drivers!$C$117+Drivers!$C$114*(Drivers!$C$118*(G$35=Drivers!$C$116)+Drivers!$C$119*(G$35=Drivers!$C$116+3))+G74*Drivers!$C$123-Drivers!$C$124*Drivers!$C$114*AND(G$35&gt;=2027,G$35&lt;=2030)+G75</f>
        <v>0.091</v>
      </c>
      <c r="H76" s="29" t="n">
        <f aca="false">H73*Drivers!$C$117+Drivers!$C$114*(Drivers!$C$118*(H$35=Drivers!$C$116)+Drivers!$C$119*(H$35=Drivers!$C$116+3))+H74*Drivers!$C$123-Drivers!$C$124*Drivers!$C$114*AND(H$35&gt;=2027,H$35&lt;=2030)+H75</f>
        <v>0.0522</v>
      </c>
      <c r="I76" s="29" t="n">
        <f aca="false">I73*Drivers!$C$117+Drivers!$C$114*(Drivers!$C$118*(I$35=Drivers!$C$116)+Drivers!$C$119*(I$35=Drivers!$C$116+3))+I74*Drivers!$C$123-Drivers!$C$124*Drivers!$C$114*AND(I$35&gt;=2027,I$35&lt;=2030)+I75</f>
        <v>0.0618</v>
      </c>
      <c r="J76" s="29" t="n">
        <f aca="false">J73*Drivers!$C$117+Drivers!$C$114*(Drivers!$C$118*(J$35=Drivers!$C$116)+Drivers!$C$119*(J$35=Drivers!$C$116+3))+J74*Drivers!$C$123-Drivers!$C$124*Drivers!$C$114*AND(J$35&gt;=2027,J$35&lt;=2030)+J75</f>
        <v>0.0714</v>
      </c>
      <c r="K76" s="29" t="n">
        <f aca="false">K73*Drivers!$C$117+Drivers!$C$114*(Drivers!$C$118*(K$35=Drivers!$C$116)+Drivers!$C$119*(K$35=Drivers!$C$116+3))+K74*Drivers!$C$123-Drivers!$C$124*Drivers!$C$114*AND(K$35&gt;=2027,K$35&lt;=2030)+K75</f>
        <v>0.081</v>
      </c>
      <c r="L76" s="29" t="n">
        <f aca="false">L73*Drivers!$C$117+Drivers!$C$114*(Drivers!$C$118*(L$35=Drivers!$C$116)+Drivers!$C$119*(L$35=Drivers!$C$116+3))+L74*Drivers!$C$123-Drivers!$C$124*Drivers!$C$114*AND(L$35&gt;=2027,L$35&lt;=2030)+L75</f>
        <v>0.081</v>
      </c>
      <c r="M76" s="29" t="n">
        <f aca="false">M73*Drivers!$C$117+Drivers!$C$114*(Drivers!$C$118*(M$35=Drivers!$C$116)+Drivers!$C$119*(M$35=Drivers!$C$116+3))+M74*Drivers!$C$123-Drivers!$C$124*Drivers!$C$114*AND(M$35&gt;=2027,M$35&lt;=2030)+M75</f>
        <v>0.081</v>
      </c>
      <c r="N76" s="29" t="n">
        <f aca="false">N73*Drivers!$C$117+Drivers!$C$114*(Drivers!$C$118*(N$35=Drivers!$C$116)+Drivers!$C$119*(N$35=Drivers!$C$116+3))+N74*Drivers!$C$123-Drivers!$C$124*Drivers!$C$114*AND(N$35&gt;=2027,N$35&lt;=2030)+N75</f>
        <v>0.081</v>
      </c>
      <c r="O76" s="29" t="n">
        <f aca="false">O73*Drivers!$C$117+Drivers!$C$114*(Drivers!$C$118*(O$35=Drivers!$C$116)+Drivers!$C$119*(O$35=Drivers!$C$116+3))+O74*Drivers!$C$123-Drivers!$C$124*Drivers!$C$114*AND(O$35&gt;=2027,O$35&lt;=2030)+O75</f>
        <v>0.081</v>
      </c>
      <c r="P76" s="29" t="n">
        <f aca="false">P73*Drivers!$C$117+Drivers!$C$114*(Drivers!$C$118*(P$35=Drivers!$C$116)+Drivers!$C$119*(P$35=Drivers!$C$116+3))+P74*Drivers!$C$123-Drivers!$C$124*Drivers!$C$114*AND(P$35&gt;=2027,P$35&lt;=2030)+P75</f>
        <v>0.081</v>
      </c>
      <c r="Q76" s="29" t="n">
        <f aca="false">Q73*Drivers!$C$117+Drivers!$C$114*(Drivers!$C$118*(Q$35=Drivers!$C$116)+Drivers!$C$119*(Q$35=Drivers!$C$116+3))+Q74*Drivers!$C$123-Drivers!$C$124*Drivers!$C$114*AND(Q$35&gt;=2027,Q$35&lt;=2030)+Q75</f>
        <v>0.081</v>
      </c>
      <c r="R76" s="29" t="n">
        <f aca="false">R73*Drivers!$C$117+Drivers!$C$114*(Drivers!$C$118*(R$35=Drivers!$C$116)+Drivers!$C$119*(R$35=Drivers!$C$116+3))+R74*Drivers!$C$123-Drivers!$C$124*Drivers!$C$114*AND(R$35&gt;=2027,R$35&lt;=2030)+R75</f>
        <v>0.081</v>
      </c>
      <c r="S76" s="29" t="n">
        <f aca="false">S73*Drivers!$C$117+Drivers!$C$114*(Drivers!$C$118*(S$35=Drivers!$C$116)+Drivers!$C$119*(S$35=Drivers!$C$116+3))+S74*Drivers!$C$123-Drivers!$C$124*Drivers!$C$114*AND(S$35&gt;=2027,S$35&lt;=2030)+S75</f>
        <v>0.081</v>
      </c>
      <c r="T76" s="29" t="n">
        <f aca="false">T73*Drivers!$C$117+Drivers!$C$114*(Drivers!$C$118*(T$35=Drivers!$C$116)+Drivers!$C$119*(T$35=Drivers!$C$116+3))+T74*Drivers!$C$123-Drivers!$C$124*Drivers!$C$114*AND(T$35&gt;=2027,T$35&lt;=2030)+T75</f>
        <v>0.081</v>
      </c>
      <c r="U76" s="29" t="n">
        <f aca="false">U73*Drivers!$C$117+Drivers!$C$114*(Drivers!$C$118*(U$35=Drivers!$C$116)+Drivers!$C$119*(U$35=Drivers!$C$116+3))+U74*Drivers!$C$123-Drivers!$C$124*Drivers!$C$114*AND(U$35&gt;=2027,U$35&lt;=2030)+U75</f>
        <v>0.081</v>
      </c>
    </row>
    <row r="77" customFormat="false" ht="15" hidden="false" customHeight="false" outlineLevel="0" collapsed="false">
      <c r="A77" s="3" t="s">
        <v>366</v>
      </c>
    </row>
    <row r="78" customFormat="false" ht="15" hidden="false" customHeight="false" outlineLevel="0" collapsed="false">
      <c r="A78" s="9" t="s">
        <v>298</v>
      </c>
      <c r="B78" s="35" t="s">
        <v>326</v>
      </c>
      <c r="C78" s="24" t="n">
        <f aca="false">Drivers!$C$129*(1+Drivers!$C$130)^C$36</f>
        <v>0.42</v>
      </c>
      <c r="D78" s="24" t="n">
        <f aca="false">Drivers!$C$129*(1+Drivers!$C$130)^D$36</f>
        <v>0.4284</v>
      </c>
      <c r="E78" s="24" t="n">
        <f aca="false">Drivers!$C$129*(1+Drivers!$C$130)^E$36</f>
        <v>0.436968</v>
      </c>
      <c r="F78" s="24" t="n">
        <f aca="false">Drivers!$C$129*(1+Drivers!$C$130)^F$36</f>
        <v>0.44570736</v>
      </c>
      <c r="G78" s="24" t="n">
        <f aca="false">Drivers!$C$129*(1+Drivers!$C$130)^G$36</f>
        <v>0.4546215072</v>
      </c>
      <c r="H78" s="24" t="n">
        <f aca="false">Drivers!$C$129*(1+Drivers!$C$130)^H$36</f>
        <v>0.463713937344</v>
      </c>
      <c r="I78" s="24" t="n">
        <f aca="false">Drivers!$C$129*(1+Drivers!$C$130)^I$36</f>
        <v>0.47298821609088</v>
      </c>
      <c r="J78" s="24" t="n">
        <f aca="false">Drivers!$C$129*(1+Drivers!$C$130)^J$36</f>
        <v>0.482447980412698</v>
      </c>
      <c r="K78" s="24" t="n">
        <f aca="false">Drivers!$C$129*(1+Drivers!$C$130)^K$36</f>
        <v>0.492096940020952</v>
      </c>
      <c r="L78" s="24" t="n">
        <f aca="false">Drivers!$C$129*(1+Drivers!$C$130)^L$36</f>
        <v>0.501938878821371</v>
      </c>
      <c r="M78" s="24" t="n">
        <f aca="false">Drivers!$C$129*(1+Drivers!$C$130)^M$36</f>
        <v>0.511977656397798</v>
      </c>
      <c r="N78" s="24" t="n">
        <f aca="false">Drivers!$C$129*(1+Drivers!$C$130)^N$36</f>
        <v>0.522217209525754</v>
      </c>
      <c r="O78" s="24" t="n">
        <f aca="false">Drivers!$C$129*(1+Drivers!$C$130)^O$36</f>
        <v>0.532661553716269</v>
      </c>
      <c r="P78" s="24" t="n">
        <f aca="false">Drivers!$C$129*(1+Drivers!$C$130)^P$36</f>
        <v>0.543314784790595</v>
      </c>
      <c r="Q78" s="24" t="n">
        <f aca="false">Drivers!$C$129*(1+Drivers!$C$130)^Q$36</f>
        <v>0.554181080486406</v>
      </c>
      <c r="R78" s="24" t="n">
        <f aca="false">Drivers!$C$129*(1+Drivers!$C$130)^R$36</f>
        <v>0.565264702096135</v>
      </c>
      <c r="S78" s="24" t="n">
        <f aca="false">Drivers!$C$129*(1+Drivers!$C$130)^S$36</f>
        <v>0.576569996138057</v>
      </c>
      <c r="T78" s="24" t="n">
        <f aca="false">Drivers!$C$129*(1+Drivers!$C$130)^T$36</f>
        <v>0.588101396060819</v>
      </c>
      <c r="U78" s="24" t="n">
        <f aca="false">Drivers!$C$129*(1+Drivers!$C$130)^U$36</f>
        <v>0.599863423982035</v>
      </c>
    </row>
    <row r="79" customFormat="false" ht="15" hidden="false" customHeight="false" outlineLevel="0" collapsed="false">
      <c r="A79" s="9" t="s">
        <v>367</v>
      </c>
      <c r="B79" s="35" t="s">
        <v>326</v>
      </c>
      <c r="C79" s="24" t="n">
        <f aca="false">Drivers!$D$131</f>
        <v>1.2</v>
      </c>
      <c r="D79" s="24" t="n">
        <f aca="false">Drivers!$E$131</f>
        <v>1.15</v>
      </c>
      <c r="E79" s="24" t="n">
        <f aca="false">Drivers!$F$131</f>
        <v>1.12</v>
      </c>
      <c r="F79" s="24" t="n">
        <f aca="false">Drivers!$G$131</f>
        <v>1.1</v>
      </c>
      <c r="G79" s="24" t="n">
        <f aca="false">Drivers!$H$131</f>
        <v>1.1</v>
      </c>
      <c r="H79" s="24" t="n">
        <f aca="false">Drivers!$I$131</f>
        <v>1.1</v>
      </c>
      <c r="I79" s="24" t="n">
        <f aca="false">H79*(1+Drivers!$C$132)</f>
        <v>1.122</v>
      </c>
      <c r="J79" s="24" t="n">
        <f aca="false">I79*(1+Drivers!$C$132)</f>
        <v>1.14444</v>
      </c>
      <c r="K79" s="24" t="n">
        <f aca="false">J79*(1+Drivers!$C$132)</f>
        <v>1.1673288</v>
      </c>
      <c r="L79" s="24" t="n">
        <f aca="false">K79*(1+Drivers!$C$132)</f>
        <v>1.190675376</v>
      </c>
      <c r="M79" s="24" t="n">
        <f aca="false">L79*(1+Drivers!$C$132)</f>
        <v>1.21448888352</v>
      </c>
      <c r="N79" s="24" t="n">
        <f aca="false">M79*(1+Drivers!$C$132)</f>
        <v>1.2387786611904</v>
      </c>
      <c r="O79" s="24" t="n">
        <f aca="false">N79*(1+Drivers!$C$132)</f>
        <v>1.26355423441421</v>
      </c>
      <c r="P79" s="24" t="n">
        <f aca="false">O79*(1+Drivers!$C$132)</f>
        <v>1.28882531910249</v>
      </c>
      <c r="Q79" s="24" t="n">
        <f aca="false">P79*(1+Drivers!$C$132)</f>
        <v>1.31460182548454</v>
      </c>
      <c r="R79" s="24" t="n">
        <f aca="false">Q79*(1+Drivers!$C$132)</f>
        <v>1.34089386199423</v>
      </c>
      <c r="S79" s="24" t="n">
        <f aca="false">R79*(1+Drivers!$C$132)</f>
        <v>1.36771173923412</v>
      </c>
      <c r="T79" s="24" t="n">
        <f aca="false">S79*(1+Drivers!$C$132)</f>
        <v>1.3950659740188</v>
      </c>
      <c r="U79" s="24" t="n">
        <f aca="false">T79*(1+Drivers!$C$132)</f>
        <v>1.42296729349918</v>
      </c>
    </row>
    <row r="80" customFormat="false" ht="15" hidden="false" customHeight="false" outlineLevel="0" collapsed="false">
      <c r="A80" s="9" t="s">
        <v>368</v>
      </c>
      <c r="B80" s="35" t="s">
        <v>326</v>
      </c>
      <c r="C80" s="24" t="n">
        <f aca="false">C79*$C$17</f>
        <v>1.2</v>
      </c>
      <c r="D80" s="24" t="n">
        <f aca="false">D79*$C$17</f>
        <v>1.15</v>
      </c>
      <c r="E80" s="24" t="n">
        <f aca="false">E79*$C$17</f>
        <v>1.12</v>
      </c>
      <c r="F80" s="24" t="n">
        <f aca="false">F79*$C$17</f>
        <v>1.1</v>
      </c>
      <c r="G80" s="24" t="n">
        <f aca="false">G79*$C$17</f>
        <v>1.1</v>
      </c>
      <c r="H80" s="24" t="n">
        <f aca="false">H79*$C$17</f>
        <v>1.1</v>
      </c>
      <c r="I80" s="24" t="n">
        <f aca="false">I79*$C$17</f>
        <v>1.122</v>
      </c>
      <c r="J80" s="24" t="n">
        <f aca="false">J79*$C$17</f>
        <v>1.14444</v>
      </c>
      <c r="K80" s="24" t="n">
        <f aca="false">K79*$C$17</f>
        <v>1.1673288</v>
      </c>
      <c r="L80" s="24" t="n">
        <f aca="false">L79*$C$17</f>
        <v>1.190675376</v>
      </c>
      <c r="M80" s="24" t="n">
        <f aca="false">M79*$C$17</f>
        <v>1.21448888352</v>
      </c>
      <c r="N80" s="24" t="n">
        <f aca="false">N79*$C$17</f>
        <v>1.2387786611904</v>
      </c>
      <c r="O80" s="24" t="n">
        <f aca="false">O79*$C$17</f>
        <v>1.26355423441421</v>
      </c>
      <c r="P80" s="24" t="n">
        <f aca="false">P79*$C$17</f>
        <v>1.28882531910249</v>
      </c>
      <c r="Q80" s="24" t="n">
        <f aca="false">Q79*$C$17</f>
        <v>1.31460182548454</v>
      </c>
      <c r="R80" s="24" t="n">
        <f aca="false">R79*$C$17</f>
        <v>1.34089386199423</v>
      </c>
      <c r="S80" s="24" t="n">
        <f aca="false">S79*$C$17</f>
        <v>1.36771173923412</v>
      </c>
      <c r="T80" s="24" t="n">
        <f aca="false">T79*$C$17</f>
        <v>1.3950659740188</v>
      </c>
      <c r="U80" s="24" t="n">
        <f aca="false">U79*$C$17</f>
        <v>1.42296729349918</v>
      </c>
    </row>
    <row r="81" customFormat="false" ht="15" hidden="false" customHeight="false" outlineLevel="0" collapsed="false">
      <c r="A81" s="3" t="s">
        <v>369</v>
      </c>
      <c r="B81" s="35" t="s">
        <v>326</v>
      </c>
      <c r="C81" s="29" t="n">
        <f aca="false">C44+Drivers!$C$85*C64+C70+C74+C73*Drivers!$C$117+C75</f>
        <v>3.24428</v>
      </c>
      <c r="D81" s="29" t="n">
        <f aca="false">D44+Drivers!$C$85*D64+D70+D74+D73*Drivers!$C$117+D75</f>
        <v>4.57176</v>
      </c>
      <c r="E81" s="29" t="n">
        <f aca="false">E44+Drivers!$C$85*E64+E70+E74+E73*Drivers!$C$117+E75</f>
        <v>6.28144</v>
      </c>
      <c r="F81" s="29" t="n">
        <f aca="false">F44+Drivers!$C$85*F64+F70+F74+F73*Drivers!$C$117+F75</f>
        <v>7.99612</v>
      </c>
      <c r="G81" s="29" t="n">
        <f aca="false">G44+Drivers!$C$85*G64+G70+G74+G73*Drivers!$C$117+G75</f>
        <v>10.204</v>
      </c>
      <c r="H81" s="29" t="n">
        <f aca="false">H44+Drivers!$C$85*H64+H70+H74+H73*Drivers!$C$117+H75</f>
        <v>12.25806</v>
      </c>
      <c r="I81" s="29" t="n">
        <f aca="false">I44+Drivers!$C$85*I64+I70+I74+I73*Drivers!$C$117+I75</f>
        <v>14.6174</v>
      </c>
      <c r="J81" s="29" t="n">
        <f aca="false">J44+Drivers!$C$85*J64+J70+J74+J73*Drivers!$C$117+J75</f>
        <v>16.791822</v>
      </c>
      <c r="K81" s="29" t="n">
        <f aca="false">K44+Drivers!$C$85*K64+K70+K74+K73*Drivers!$C$117+K75</f>
        <v>19.85547956</v>
      </c>
      <c r="L81" s="29" t="n">
        <f aca="false">L44+Drivers!$C$85*L64+L70+L74+L73*Drivers!$C$117+L75</f>
        <v>23.4162264688</v>
      </c>
      <c r="M81" s="29" t="n">
        <f aca="false">M44+Drivers!$C$85*M64+M70+M74+M73*Drivers!$C$117+M75</f>
        <v>26.866416739424</v>
      </c>
      <c r="N81" s="29" t="n">
        <f aca="false">N44+Drivers!$C$85*N64+N70+N74+N73*Drivers!$C$117+N75</f>
        <v>29.5885796046355</v>
      </c>
      <c r="O81" s="29" t="n">
        <f aca="false">O44+Drivers!$C$85*O64+O70+O74+O73*Drivers!$C$117+O75</f>
        <v>30.7363945125428</v>
      </c>
      <c r="P81" s="29" t="n">
        <f aca="false">P44+Drivers!$C$85*P64+P70+P74+P73*Drivers!$C$117+P75</f>
        <v>31.913156122292</v>
      </c>
      <c r="Q81" s="29" t="n">
        <f aca="false">Q44+Drivers!$C$85*Q64+Q70+Q74+Q73*Drivers!$C$117+Q75</f>
        <v>32.4835520998461</v>
      </c>
      <c r="R81" s="29" t="n">
        <f aca="false">R44+Drivers!$C$85*R64+R70+R74+R73*Drivers!$C$117+R75</f>
        <v>32.3526701298492</v>
      </c>
      <c r="S81" s="29" t="n">
        <f aca="false">S44+Drivers!$C$85*S64+S70+S74+S73*Drivers!$C$117+S75</f>
        <v>30.7634761670922</v>
      </c>
      <c r="T81" s="29" t="n">
        <f aca="false">T44+Drivers!$C$85*T64+T70+T74+T73*Drivers!$C$117+T75</f>
        <v>30.1800243403952</v>
      </c>
      <c r="U81" s="29" t="n">
        <f aca="false">U44+Drivers!$C$85*U64+U70+U74+U73*Drivers!$C$117+U75</f>
        <v>29.6185870593327</v>
      </c>
    </row>
    <row r="82" customFormat="false" ht="15" hidden="false" customHeight="false" outlineLevel="0" collapsed="false">
      <c r="A82" s="9" t="s">
        <v>370</v>
      </c>
      <c r="B82" s="35" t="s">
        <v>326</v>
      </c>
      <c r="C82" s="24" t="n">
        <f aca="false">Drivers!$D$134</f>
        <v>0.3</v>
      </c>
      <c r="D82" s="24" t="n">
        <f aca="false">Drivers!$E$134</f>
        <v>0.25</v>
      </c>
      <c r="E82" s="24" t="n">
        <f aca="false">Drivers!$F$134</f>
        <v>0.25</v>
      </c>
      <c r="F82" s="24" t="n">
        <f aca="false">Drivers!$G$134</f>
        <v>0.25</v>
      </c>
      <c r="G82" s="24" t="n">
        <f aca="false">Drivers!$H$134</f>
        <v>0.25</v>
      </c>
      <c r="H82" s="24" t="n">
        <f aca="false">Drivers!$I$134</f>
        <v>0.25</v>
      </c>
      <c r="I82" s="24" t="n">
        <f aca="false">Drivers!$C$135*I81</f>
        <v>0.584696</v>
      </c>
      <c r="J82" s="24" t="n">
        <f aca="false">Drivers!$C$135*J81</f>
        <v>0.67167288</v>
      </c>
      <c r="K82" s="24" t="n">
        <f aca="false">Drivers!$C$135*K81</f>
        <v>0.7942191824</v>
      </c>
      <c r="L82" s="24" t="n">
        <f aca="false">Drivers!$C$135*L81</f>
        <v>0.936649058752</v>
      </c>
      <c r="M82" s="24" t="n">
        <f aca="false">Drivers!$C$135*M81</f>
        <v>1.07465666957696</v>
      </c>
      <c r="N82" s="24" t="n">
        <f aca="false">Drivers!$C$135*N81</f>
        <v>1.18354318418542</v>
      </c>
      <c r="O82" s="24" t="n">
        <f aca="false">Drivers!$C$135*O81</f>
        <v>1.22945578050171</v>
      </c>
      <c r="P82" s="24" t="n">
        <f aca="false">Drivers!$C$135*P81</f>
        <v>1.27652624489168</v>
      </c>
      <c r="Q82" s="24" t="n">
        <f aca="false">Drivers!$C$135*Q81</f>
        <v>1.29934208399385</v>
      </c>
      <c r="R82" s="24" t="n">
        <f aca="false">Drivers!$C$135*R81</f>
        <v>1.29410680519397</v>
      </c>
      <c r="S82" s="24" t="n">
        <f aca="false">Drivers!$C$135*S81</f>
        <v>1.23053904668369</v>
      </c>
      <c r="T82" s="24" t="n">
        <f aca="false">Drivers!$C$135*T81</f>
        <v>1.20720097361581</v>
      </c>
      <c r="U82" s="24" t="n">
        <f aca="false">Drivers!$C$135*U81</f>
        <v>1.18474348237331</v>
      </c>
    </row>
    <row r="83" customFormat="false" ht="15" hidden="false" customHeight="false" outlineLevel="0" collapsed="false">
      <c r="A83" s="9" t="s">
        <v>371</v>
      </c>
      <c r="B83" s="35" t="s">
        <v>326</v>
      </c>
      <c r="C83" s="24" t="n">
        <f aca="false">Drivers!$C$136</f>
        <v>0.23</v>
      </c>
      <c r="D83" s="24" t="n">
        <f aca="false">Drivers!$C$136</f>
        <v>0.23</v>
      </c>
      <c r="E83" s="24" t="n">
        <f aca="false">Drivers!$C$136</f>
        <v>0.23</v>
      </c>
      <c r="F83" s="24" t="n">
        <f aca="false">Drivers!$C$136</f>
        <v>0.23</v>
      </c>
      <c r="G83" s="24" t="n">
        <f aca="false">Drivers!$C$136</f>
        <v>0.23</v>
      </c>
      <c r="H83" s="24" t="n">
        <f aca="false">Drivers!$C$136</f>
        <v>0.23</v>
      </c>
      <c r="I83" s="24" t="n">
        <f aca="false">0.8*I82</f>
        <v>0.4677568</v>
      </c>
      <c r="J83" s="24" t="n">
        <f aca="false">0.8*J82</f>
        <v>0.537338304</v>
      </c>
      <c r="K83" s="24" t="n">
        <f aca="false">0.8*K82</f>
        <v>0.63537534592</v>
      </c>
      <c r="L83" s="24" t="n">
        <f aca="false">0.8*L82</f>
        <v>0.7493192470016</v>
      </c>
      <c r="M83" s="24" t="n">
        <f aca="false">0.8*M82</f>
        <v>0.859725335661568</v>
      </c>
      <c r="N83" s="24" t="n">
        <f aca="false">0.8*N82</f>
        <v>0.946834547348337</v>
      </c>
      <c r="O83" s="24" t="n">
        <f aca="false">0.8*O82</f>
        <v>0.98356462440137</v>
      </c>
      <c r="P83" s="24" t="n">
        <f aca="false">0.8*P82</f>
        <v>1.02122099591334</v>
      </c>
      <c r="Q83" s="24" t="n">
        <f aca="false">0.8*Q82</f>
        <v>1.03947366719508</v>
      </c>
      <c r="R83" s="24" t="n">
        <f aca="false">0.8*R82</f>
        <v>1.03528544415517</v>
      </c>
      <c r="S83" s="24" t="n">
        <f aca="false">0.8*S82</f>
        <v>0.984431237346951</v>
      </c>
      <c r="T83" s="24" t="n">
        <f aca="false">0.8*T82</f>
        <v>0.965760778892645</v>
      </c>
      <c r="U83" s="24" t="n">
        <f aca="false">0.8*U82</f>
        <v>0.947794785898647</v>
      </c>
    </row>
    <row r="84" customFormat="false" ht="15" hidden="false" customHeight="false" outlineLevel="0" collapsed="false">
      <c r="A84" s="9" t="s">
        <v>372</v>
      </c>
      <c r="B84" s="35" t="s">
        <v>326</v>
      </c>
      <c r="C84" s="24" t="n">
        <f aca="false">Drivers!$C$82*(C81-Drivers!$C$35)</f>
        <v>0.120428</v>
      </c>
      <c r="D84" s="24" t="n">
        <f aca="false">Drivers!$C$82*(D81-C81)</f>
        <v>0.132748</v>
      </c>
      <c r="E84" s="24" t="n">
        <f aca="false">Drivers!$C$82*(E81-D81)</f>
        <v>0.170968</v>
      </c>
      <c r="F84" s="24" t="n">
        <f aca="false">Drivers!$C$82*(F81-E81)</f>
        <v>0.171468</v>
      </c>
      <c r="G84" s="24" t="n">
        <f aca="false">Drivers!$C$82*(G81-F81)</f>
        <v>0.220788</v>
      </c>
      <c r="H84" s="24" t="n">
        <f aca="false">Drivers!$C$82*(H81-G81)</f>
        <v>0.205406</v>
      </c>
      <c r="I84" s="24" t="n">
        <f aca="false">Drivers!$C$82*(I81-H81)</f>
        <v>0.235934</v>
      </c>
      <c r="J84" s="24" t="n">
        <f aca="false">Drivers!$C$82*(J81-I81)</f>
        <v>0.2174422</v>
      </c>
      <c r="K84" s="24" t="n">
        <f aca="false">Drivers!$C$82*(K81-J81)</f>
        <v>0.306365756</v>
      </c>
      <c r="L84" s="24" t="n">
        <f aca="false">Drivers!$C$82*(L81-K81)</f>
        <v>0.35607469088</v>
      </c>
      <c r="M84" s="24" t="n">
        <f aca="false">Drivers!$C$82*(M81-L81)</f>
        <v>0.3450190270624</v>
      </c>
      <c r="N84" s="24" t="n">
        <f aca="false">Drivers!$C$82*(N81-M81)</f>
        <v>0.272216286521152</v>
      </c>
      <c r="O84" s="24" t="n">
        <f aca="false">Drivers!$C$82*(O81-N81)</f>
        <v>0.114781490790729</v>
      </c>
      <c r="P84" s="24" t="n">
        <f aca="false">Drivers!$C$82*(P81-O81)</f>
        <v>0.117676160974914</v>
      </c>
      <c r="Q84" s="24" t="n">
        <f aca="false">Drivers!$C$82*(Q81-P81)</f>
        <v>0.0570395977554171</v>
      </c>
      <c r="R84" s="24" t="n">
        <f aca="false">Drivers!$C$82*(R81-Q81)</f>
        <v>-0.0130881969996928</v>
      </c>
      <c r="S84" s="24" t="n">
        <f aca="false">Drivers!$C$82*(S81-R81)</f>
        <v>-0.158919396275699</v>
      </c>
      <c r="T84" s="24" t="n">
        <f aca="false">Drivers!$C$82*(T81-S81)</f>
        <v>-0.058345182669704</v>
      </c>
      <c r="U84" s="24" t="n">
        <f aca="false">Drivers!$C$82*(U81-T81)</f>
        <v>-0.056143728106245</v>
      </c>
    </row>
    <row r="85" customFormat="false" ht="15" hidden="false" customHeight="false" outlineLevel="0" collapsed="false">
      <c r="A85" s="3" t="s">
        <v>373</v>
      </c>
      <c r="B85" s="35" t="s">
        <v>326</v>
      </c>
      <c r="C85" s="29" t="n">
        <f aca="false">C52+C68+C72+C76-C78-C80</f>
        <v>-1.405826</v>
      </c>
      <c r="D85" s="29" t="n">
        <f aca="false">D52+D68+D72+D76-D78-D80</f>
        <v>-0.635218933333333</v>
      </c>
      <c r="E85" s="29" t="n">
        <f aca="false">E52+E68+E72+E76-E78-E80</f>
        <v>0.339011466666667</v>
      </c>
      <c r="F85" s="29" t="n">
        <f aca="false">F52+F68+F72+F76-F78-F80</f>
        <v>1.55233610666667</v>
      </c>
      <c r="G85" s="29" t="n">
        <f aca="false">G52+G68+G72+G76-G78-G80</f>
        <v>3.2751760928</v>
      </c>
      <c r="H85" s="29" t="n">
        <f aca="false">H52+H68+H72+H76-H78-H80</f>
        <v>5.251747262656</v>
      </c>
      <c r="I85" s="29" t="n">
        <f aca="false">I52+I68+I72+I76-I78-I80</f>
        <v>6.71527978390912</v>
      </c>
      <c r="J85" s="29" t="n">
        <f aca="false">J52+J68+J72+J76-J78-J80</f>
        <v>8.06416509958731</v>
      </c>
      <c r="K85" s="29" t="n">
        <f aca="false">K52+K68+K72+K76-K78-K80</f>
        <v>9.97060199837905</v>
      </c>
      <c r="L85" s="29" t="n">
        <f aca="false">L52+L68+L72+L76-L78-L80</f>
        <v>12.1425150916106</v>
      </c>
      <c r="M85" s="29" t="n">
        <f aca="false">M52+M68+M72+M76-M78-M80</f>
        <v>14.2349148038416</v>
      </c>
      <c r="N85" s="29" t="n">
        <f aca="false">N52+N68+N72+N76-N78-N80</f>
        <v>15.8774518633891</v>
      </c>
      <c r="O85" s="29" t="n">
        <f aca="false">O52+O68+O72+O76-O78-O80</f>
        <v>16.5430097927783</v>
      </c>
      <c r="P85" s="29" t="n">
        <f aca="false">P52+P68+P72+P76-P78-P80</f>
        <v>17.2256131991127</v>
      </c>
      <c r="Q85" s="29" t="n">
        <f aca="false">Q52+Q68+Q72+Q76-Q78-Q80</f>
        <v>17.5313500003643</v>
      </c>
      <c r="R85" s="29" t="n">
        <f aca="false">R52+R68+R72+R76-R78-R80</f>
        <v>17.4013557654955</v>
      </c>
      <c r="S85" s="29" t="n">
        <f aca="false">S52+S68+S72+S76-S78-S80</f>
        <v>16.3730502229949</v>
      </c>
      <c r="T85" s="29" t="n">
        <f aca="false">T52+T68+T72+T76-T78-T80</f>
        <v>15.9613433937654</v>
      </c>
      <c r="U85" s="29" t="n">
        <f aca="false">U52+U68+U72+U76-U78-U80</f>
        <v>15.5622637696292</v>
      </c>
    </row>
    <row r="86" customFormat="false" ht="15" hidden="false" customHeight="false" outlineLevel="0" collapsed="false">
      <c r="A86" s="9" t="s">
        <v>374</v>
      </c>
      <c r="B86" s="35" t="s">
        <v>326</v>
      </c>
      <c r="C86" s="24" t="n">
        <f aca="false">Drivers!$C$32</f>
        <v>12.5</v>
      </c>
      <c r="D86" s="24" t="n">
        <f aca="false">C89</f>
        <v>13.905826</v>
      </c>
      <c r="E86" s="24" t="n">
        <f aca="false">D89</f>
        <v>14.5410449333333</v>
      </c>
      <c r="F86" s="24" t="n">
        <f aca="false">E89</f>
        <v>14.26983576</v>
      </c>
      <c r="G86" s="24" t="n">
        <f aca="false">F89</f>
        <v>13.0279668746667</v>
      </c>
      <c r="H86" s="24" t="n">
        <f aca="false">G89</f>
        <v>10.4078260004267</v>
      </c>
      <c r="I86" s="24" t="n">
        <f aca="false">H89</f>
        <v>6.20642819030186</v>
      </c>
      <c r="J86" s="24" t="n">
        <f aca="false">I89</f>
        <v>0.834204363174568</v>
      </c>
      <c r="K86" s="24" t="n">
        <f aca="false">J89</f>
        <v>0</v>
      </c>
      <c r="L86" s="24" t="n">
        <f aca="false">K89</f>
        <v>0</v>
      </c>
      <c r="M86" s="24" t="n">
        <f aca="false">L89</f>
        <v>0</v>
      </c>
      <c r="N86" s="24" t="n">
        <f aca="false">M89</f>
        <v>0</v>
      </c>
      <c r="O86" s="24" t="n">
        <f aca="false">N89</f>
        <v>0</v>
      </c>
      <c r="P86" s="24" t="n">
        <f aca="false">O89</f>
        <v>0</v>
      </c>
      <c r="Q86" s="24" t="n">
        <f aca="false">P89</f>
        <v>0</v>
      </c>
      <c r="R86" s="24" t="n">
        <f aca="false">Q89</f>
        <v>0</v>
      </c>
      <c r="S86" s="24" t="n">
        <f aca="false">R89</f>
        <v>0</v>
      </c>
      <c r="T86" s="24" t="n">
        <f aca="false">S89</f>
        <v>0</v>
      </c>
      <c r="U86" s="24" t="n">
        <f aca="false">T89</f>
        <v>0</v>
      </c>
    </row>
    <row r="87" customFormat="false" ht="15" hidden="false" customHeight="false" outlineLevel="0" collapsed="false">
      <c r="A87" s="9" t="s">
        <v>375</v>
      </c>
      <c r="B87" s="35" t="s">
        <v>326</v>
      </c>
      <c r="C87" s="24" t="n">
        <f aca="false">IF(C85&gt;0,MIN(C86,Drivers!$C$33*C85),0)</f>
        <v>0</v>
      </c>
      <c r="D87" s="24" t="n">
        <f aca="false">IF(D85&gt;0,MIN(D86,Drivers!$C$33*D85),0)</f>
        <v>0</v>
      </c>
      <c r="E87" s="24" t="n">
        <f aca="false">IF(E85&gt;0,MIN(E86,Drivers!$C$33*E85),0)</f>
        <v>0.271209173333334</v>
      </c>
      <c r="F87" s="24" t="n">
        <f aca="false">IF(F85&gt;0,MIN(F86,Drivers!$C$33*F85),0)</f>
        <v>1.24186888533333</v>
      </c>
      <c r="G87" s="24" t="n">
        <f aca="false">IF(G85&gt;0,MIN(G86,Drivers!$C$33*G85),0)</f>
        <v>2.62014087424</v>
      </c>
      <c r="H87" s="24" t="n">
        <f aca="false">IF(H85&gt;0,MIN(H86,Drivers!$C$33*H85),0)</f>
        <v>4.2013978101248</v>
      </c>
      <c r="I87" s="24" t="n">
        <f aca="false">IF(I85&gt;0,MIN(I86,Drivers!$C$33*I85),0)</f>
        <v>5.3722238271273</v>
      </c>
      <c r="J87" s="24" t="n">
        <f aca="false">IF(J85&gt;0,MIN(J86,Drivers!$C$33*J85),0)</f>
        <v>0.834204363174568</v>
      </c>
      <c r="K87" s="24" t="n">
        <f aca="false">IF(K85&gt;0,MIN(K86,Drivers!$C$33*K85),0)</f>
        <v>0</v>
      </c>
      <c r="L87" s="24" t="n">
        <f aca="false">IF(L85&gt;0,MIN(L86,Drivers!$C$33*L85),0)</f>
        <v>0</v>
      </c>
      <c r="M87" s="24" t="n">
        <f aca="false">IF(M85&gt;0,MIN(M86,Drivers!$C$33*M85),0)</f>
        <v>0</v>
      </c>
      <c r="N87" s="24" t="n">
        <f aca="false">IF(N85&gt;0,MIN(N86,Drivers!$C$33*N85),0)</f>
        <v>0</v>
      </c>
      <c r="O87" s="24" t="n">
        <f aca="false">IF(O85&gt;0,MIN(O86,Drivers!$C$33*O85),0)</f>
        <v>0</v>
      </c>
      <c r="P87" s="24" t="n">
        <f aca="false">IF(P85&gt;0,MIN(P86,Drivers!$C$33*P85),0)</f>
        <v>0</v>
      </c>
      <c r="Q87" s="24" t="n">
        <f aca="false">IF(Q85&gt;0,MIN(Q86,Drivers!$C$33*Q85),0)</f>
        <v>0</v>
      </c>
      <c r="R87" s="24" t="n">
        <f aca="false">IF(R85&gt;0,MIN(R86,Drivers!$C$33*R85),0)</f>
        <v>0</v>
      </c>
      <c r="S87" s="24" t="n">
        <f aca="false">IF(S85&gt;0,MIN(S86,Drivers!$C$33*S85),0)</f>
        <v>0</v>
      </c>
      <c r="T87" s="24" t="n">
        <f aca="false">IF(T85&gt;0,MIN(T86,Drivers!$C$33*T85),0)</f>
        <v>0</v>
      </c>
      <c r="U87" s="24" t="n">
        <f aca="false">IF(U85&gt;0,MIN(U86,Drivers!$C$33*U85),0)</f>
        <v>0</v>
      </c>
    </row>
    <row r="88" customFormat="false" ht="15" hidden="false" customHeight="false" outlineLevel="0" collapsed="false">
      <c r="A88" s="9" t="s">
        <v>376</v>
      </c>
      <c r="B88" s="35" t="s">
        <v>326</v>
      </c>
      <c r="C88" s="24" t="n">
        <f aca="false">IF(C85&gt;0,Drivers!$C$31*(C85-C87),0)</f>
        <v>0</v>
      </c>
      <c r="D88" s="24" t="n">
        <f aca="false">IF(D85&gt;0,Drivers!$C$31*(D85-D87),0)</f>
        <v>0</v>
      </c>
      <c r="E88" s="24" t="n">
        <f aca="false">IF(E85&gt;0,Drivers!$C$31*(E85-E87),0)</f>
        <v>0.0128824357333334</v>
      </c>
      <c r="F88" s="24" t="n">
        <f aca="false">IF(F85&gt;0,Drivers!$C$31*(F85-F87),0)</f>
        <v>0.0589887720533334</v>
      </c>
      <c r="G88" s="24" t="n">
        <f aca="false">IF(G85&gt;0,Drivers!$C$31*(G85-G87),0)</f>
        <v>0.1244566915264</v>
      </c>
      <c r="H88" s="24" t="n">
        <f aca="false">IF(H85&gt;0,Drivers!$C$31*(H85-H87),0)</f>
        <v>0.199566395980928</v>
      </c>
      <c r="I88" s="24" t="n">
        <f aca="false">IF(I85&gt;0,Drivers!$C$31*(I85-I87),0)</f>
        <v>0.255180631788546</v>
      </c>
      <c r="J88" s="24" t="n">
        <f aca="false">IF(J85&gt;0,Drivers!$C$31*(J85-J87),0)</f>
        <v>1.37369253991842</v>
      </c>
      <c r="K88" s="24" t="n">
        <f aca="false">IF(K85&gt;0,Drivers!$C$31*(K85-K87),0)</f>
        <v>1.89441437969202</v>
      </c>
      <c r="L88" s="24" t="n">
        <f aca="false">IF(L85&gt;0,Drivers!$C$31*(L85-L87),0)</f>
        <v>2.30707786740602</v>
      </c>
      <c r="M88" s="24" t="n">
        <f aca="false">IF(M85&gt;0,Drivers!$C$31*(M85-M87),0)</f>
        <v>2.7046338127299</v>
      </c>
      <c r="N88" s="24" t="n">
        <f aca="false">IF(N85&gt;0,Drivers!$C$31*(N85-N87),0)</f>
        <v>3.01671585404394</v>
      </c>
      <c r="O88" s="24" t="n">
        <f aca="false">IF(O85&gt;0,Drivers!$C$31*(O85-O87),0)</f>
        <v>3.14317186062787</v>
      </c>
      <c r="P88" s="24" t="n">
        <f aca="false">IF(P85&gt;0,Drivers!$C$31*(P85-P87),0)</f>
        <v>3.27286650783142</v>
      </c>
      <c r="Q88" s="24" t="n">
        <f aca="false">IF(Q85&gt;0,Drivers!$C$31*(Q85-Q87),0)</f>
        <v>3.33095650006922</v>
      </c>
      <c r="R88" s="24" t="n">
        <f aca="false">IF(R85&gt;0,Drivers!$C$31*(R85-R87),0)</f>
        <v>3.30625759544415</v>
      </c>
      <c r="S88" s="24" t="n">
        <f aca="false">IF(S85&gt;0,Drivers!$C$31*(S85-S87),0)</f>
        <v>3.11087954236903</v>
      </c>
      <c r="T88" s="24" t="n">
        <f aca="false">IF(T85&gt;0,Drivers!$C$31*(T85-T87),0)</f>
        <v>3.03265524481543</v>
      </c>
      <c r="U88" s="24" t="n">
        <f aca="false">IF(U85&gt;0,Drivers!$C$31*(U85-U87),0)</f>
        <v>2.95683011622954</v>
      </c>
    </row>
    <row r="89" customFormat="false" ht="15" hidden="false" customHeight="false" outlineLevel="0" collapsed="false">
      <c r="A89" s="9" t="s">
        <v>377</v>
      </c>
      <c r="B89" s="35" t="s">
        <v>326</v>
      </c>
      <c r="C89" s="24" t="n">
        <f aca="false">C86-C87+IF(C85&lt;0,-C85,0)</f>
        <v>13.905826</v>
      </c>
      <c r="D89" s="24" t="n">
        <f aca="false">D86-D87+IF(D85&lt;0,-D85,0)</f>
        <v>14.5410449333333</v>
      </c>
      <c r="E89" s="24" t="n">
        <f aca="false">E86-E87+IF(E85&lt;0,-E85,0)</f>
        <v>14.26983576</v>
      </c>
      <c r="F89" s="24" t="n">
        <f aca="false">F86-F87+IF(F85&lt;0,-F85,0)</f>
        <v>13.0279668746667</v>
      </c>
      <c r="G89" s="24" t="n">
        <f aca="false">G86-G87+IF(G85&lt;0,-G85,0)</f>
        <v>10.4078260004267</v>
      </c>
      <c r="H89" s="24" t="n">
        <f aca="false">H86-H87+IF(H85&lt;0,-H85,0)</f>
        <v>6.20642819030186</v>
      </c>
      <c r="I89" s="24" t="n">
        <f aca="false">I86-I87+IF(I85&lt;0,-I85,0)</f>
        <v>0.834204363174568</v>
      </c>
      <c r="J89" s="24" t="n">
        <f aca="false">J86-J87+IF(J85&lt;0,-J85,0)</f>
        <v>0</v>
      </c>
      <c r="K89" s="24" t="n">
        <f aca="false">K86-K87+IF(K85&lt;0,-K85,0)</f>
        <v>0</v>
      </c>
      <c r="L89" s="24" t="n">
        <f aca="false">L86-L87+IF(L85&lt;0,-L85,0)</f>
        <v>0</v>
      </c>
      <c r="M89" s="24" t="n">
        <f aca="false">M86-M87+IF(M85&lt;0,-M85,0)</f>
        <v>0</v>
      </c>
      <c r="N89" s="24" t="n">
        <f aca="false">N86-N87+IF(N85&lt;0,-N85,0)</f>
        <v>0</v>
      </c>
      <c r="O89" s="24" t="n">
        <f aca="false">O86-O87+IF(O85&lt;0,-O85,0)</f>
        <v>0</v>
      </c>
      <c r="P89" s="24" t="n">
        <f aca="false">P86-P87+IF(P85&lt;0,-P85,0)</f>
        <v>0</v>
      </c>
      <c r="Q89" s="24" t="n">
        <f aca="false">Q86-Q87+IF(Q85&lt;0,-Q85,0)</f>
        <v>0</v>
      </c>
      <c r="R89" s="24" t="n">
        <f aca="false">R86-R87+IF(R85&lt;0,-R85,0)</f>
        <v>0</v>
      </c>
      <c r="S89" s="24" t="n">
        <f aca="false">S86-S87+IF(S85&lt;0,-S85,0)</f>
        <v>0</v>
      </c>
      <c r="T89" s="24" t="n">
        <f aca="false">T86-T87+IF(T85&lt;0,-T85,0)</f>
        <v>0</v>
      </c>
      <c r="U89" s="24" t="n">
        <f aca="false">U86-U87+IF(U85&lt;0,-U85,0)</f>
        <v>0</v>
      </c>
    </row>
    <row r="90" customFormat="false" ht="15" hidden="false" customHeight="false" outlineLevel="0" collapsed="false">
      <c r="A90" s="3" t="s">
        <v>378</v>
      </c>
      <c r="B90" s="35" t="s">
        <v>326</v>
      </c>
      <c r="C90" s="29" t="n">
        <f aca="false">C85-C88-(C82-C83)-C84</f>
        <v>-1.596254</v>
      </c>
      <c r="D90" s="29" t="n">
        <f aca="false">D85-D88-(D82-D83)-D84</f>
        <v>-0.787966933333333</v>
      </c>
      <c r="E90" s="29" t="n">
        <f aca="false">E85-E88-(E82-E83)-E84</f>
        <v>0.135161030933334</v>
      </c>
      <c r="F90" s="29" t="n">
        <f aca="false">F85-F88-(F82-F83)-F84</f>
        <v>1.30187933461333</v>
      </c>
      <c r="G90" s="29" t="n">
        <f aca="false">G85-G88-(G82-G83)-G84</f>
        <v>2.9099314012736</v>
      </c>
      <c r="H90" s="29" t="n">
        <f aca="false">H85-H88-(H82-H83)-H84</f>
        <v>4.82677486667507</v>
      </c>
      <c r="I90" s="29" t="n">
        <f aca="false">I85-I88-(I82-I83)-I84</f>
        <v>6.10722595212057</v>
      </c>
      <c r="J90" s="29" t="n">
        <f aca="false">J85-J88-(J82-J83)-J84</f>
        <v>6.33869578366889</v>
      </c>
      <c r="K90" s="29" t="n">
        <f aca="false">K85-K88-(K82-K83)-K84</f>
        <v>7.61097802620703</v>
      </c>
      <c r="L90" s="29" t="n">
        <f aca="false">L85-L88-(L82-L83)-L84</f>
        <v>9.29203272157421</v>
      </c>
      <c r="M90" s="29" t="n">
        <f aca="false">M85-M88-(M82-M83)-M84</f>
        <v>10.9703306301339</v>
      </c>
      <c r="N90" s="29" t="n">
        <f aca="false">N85-N88-(N82-N83)-N84</f>
        <v>12.351811085987</v>
      </c>
      <c r="O90" s="29" t="n">
        <f aca="false">O85-O88-(O82-O83)-O84</f>
        <v>13.0391652852593</v>
      </c>
      <c r="P90" s="29" t="n">
        <f aca="false">P85-P88-(P82-P83)-P84</f>
        <v>13.5797652813281</v>
      </c>
      <c r="Q90" s="29" t="n">
        <f aca="false">Q85-Q88-(Q82-Q83)-Q84</f>
        <v>13.8834854857409</v>
      </c>
      <c r="R90" s="29" t="n">
        <f aca="false">R85-R88-(R82-R83)-R84</f>
        <v>13.8493650060123</v>
      </c>
      <c r="S90" s="29" t="n">
        <f aca="false">S85-S88-(S82-S83)-S84</f>
        <v>13.1749822675648</v>
      </c>
      <c r="T90" s="29" t="n">
        <f aca="false">T85-T88-(T82-T83)-T84</f>
        <v>12.7455931368965</v>
      </c>
      <c r="U90" s="29" t="n">
        <f aca="false">U85-U88-(U82-U83)-U84</f>
        <v>12.4246286850312</v>
      </c>
    </row>
    <row r="91" customFormat="false" ht="15" hidden="false" customHeight="false" outlineLevel="0" collapsed="false">
      <c r="A91" s="9" t="s">
        <v>379</v>
      </c>
      <c r="B91" s="35" t="s">
        <v>380</v>
      </c>
      <c r="C91" s="33" t="n">
        <f aca="false">0.25+C$36+0.5</f>
        <v>0.75</v>
      </c>
      <c r="D91" s="33" t="n">
        <f aca="false">0.25+D$36+0.5</f>
        <v>1.75</v>
      </c>
      <c r="E91" s="33" t="n">
        <f aca="false">0.25+E$36+0.5</f>
        <v>2.75</v>
      </c>
      <c r="F91" s="33" t="n">
        <f aca="false">0.25+F$36+0.5</f>
        <v>3.75</v>
      </c>
      <c r="G91" s="33" t="n">
        <f aca="false">0.25+G$36+0.5</f>
        <v>4.75</v>
      </c>
      <c r="H91" s="33" t="n">
        <f aca="false">0.25+H$36+0.5</f>
        <v>5.75</v>
      </c>
      <c r="I91" s="33" t="n">
        <f aca="false">0.25+I$36+0.5</f>
        <v>6.75</v>
      </c>
      <c r="J91" s="33" t="n">
        <f aca="false">0.25+J$36+0.5</f>
        <v>7.75</v>
      </c>
      <c r="K91" s="33" t="n">
        <f aca="false">0.25+K$36+0.5</f>
        <v>8.75</v>
      </c>
      <c r="L91" s="33" t="n">
        <f aca="false">0.25+L$36+0.5</f>
        <v>9.75</v>
      </c>
      <c r="M91" s="33" t="n">
        <f aca="false">0.25+M$36+0.5</f>
        <v>10.75</v>
      </c>
      <c r="N91" s="33" t="n">
        <f aca="false">0.25+N$36+0.5</f>
        <v>11.75</v>
      </c>
      <c r="O91" s="33" t="n">
        <f aca="false">0.25+O$36+0.5</f>
        <v>12.75</v>
      </c>
      <c r="P91" s="33" t="n">
        <f aca="false">0.25+P$36+0.5</f>
        <v>13.75</v>
      </c>
      <c r="Q91" s="33" t="n">
        <f aca="false">0.25+Q$36+0.5</f>
        <v>14.75</v>
      </c>
      <c r="R91" s="33" t="n">
        <f aca="false">0.25+R$36+0.5</f>
        <v>15.75</v>
      </c>
      <c r="S91" s="33" t="n">
        <f aca="false">0.25+S$36+0.5</f>
        <v>16.75</v>
      </c>
      <c r="T91" s="33" t="n">
        <f aca="false">0.25+T$36+0.5</f>
        <v>17.75</v>
      </c>
      <c r="U91" s="33" t="n">
        <f aca="false">0.25+U$36+0.5</f>
        <v>18.75</v>
      </c>
    </row>
    <row r="92" customFormat="false" ht="15" hidden="false" customHeight="false" outlineLevel="0" collapsed="false">
      <c r="A92" s="9" t="s">
        <v>381</v>
      </c>
      <c r="B92" s="35" t="s">
        <v>382</v>
      </c>
      <c r="C92" s="36" t="n">
        <f aca="false">(1+$C$19)^(-C91)</f>
        <v>0.943913469359513</v>
      </c>
      <c r="D92" s="36" t="n">
        <f aca="false">(1+$C$19)^(-D91)</f>
        <v>0.87399395311066</v>
      </c>
      <c r="E92" s="36" t="n">
        <f aca="false">(1+$C$19)^(-E91)</f>
        <v>0.809253660287648</v>
      </c>
      <c r="F92" s="36" t="n">
        <f aca="false">(1+$C$19)^(-F91)</f>
        <v>0.749308944710785</v>
      </c>
      <c r="G92" s="36" t="n">
        <f aca="false">(1+$C$19)^(-G91)</f>
        <v>0.693804578435912</v>
      </c>
      <c r="H92" s="36" t="n">
        <f aca="false">(1+$C$19)^(-H91)</f>
        <v>0.642411646699918</v>
      </c>
      <c r="I92" s="36" t="n">
        <f aca="false">(1+$C$19)^(-I91)</f>
        <v>0.594825598796221</v>
      </c>
      <c r="J92" s="36" t="n">
        <f aca="false">(1+$C$19)^(-J91)</f>
        <v>0.550764443329834</v>
      </c>
      <c r="K92" s="36" t="n">
        <f aca="false">(1+$C$19)^(-K91)</f>
        <v>0.509967077157254</v>
      </c>
      <c r="L92" s="36" t="n">
        <f aca="false">(1+$C$19)^(-L91)</f>
        <v>0.472191738108568</v>
      </c>
      <c r="M92" s="36" t="n">
        <f aca="false">(1+$C$19)^(-M91)</f>
        <v>0.437214572322748</v>
      </c>
      <c r="N92" s="36" t="n">
        <f aca="false">(1+$C$19)^(-N91)</f>
        <v>0.404828307706248</v>
      </c>
      <c r="O92" s="36" t="n">
        <f aca="false">(1+$C$19)^(-O91)</f>
        <v>0.374841025653934</v>
      </c>
      <c r="P92" s="36" t="n">
        <f aca="false">(1+$C$19)^(-P91)</f>
        <v>0.347075023753642</v>
      </c>
      <c r="Q92" s="36" t="n">
        <f aca="false">(1+$C$19)^(-Q91)</f>
        <v>0.321365762734854</v>
      </c>
      <c r="R92" s="36" t="n">
        <f aca="false">(1+$C$19)^(-R91)</f>
        <v>0.297560891421161</v>
      </c>
      <c r="S92" s="36" t="n">
        <f aca="false">(1+$C$19)^(-S91)</f>
        <v>0.275519343908482</v>
      </c>
      <c r="T92" s="36" t="n">
        <f aca="false">(1+$C$19)^(-T91)</f>
        <v>0.255110503618965</v>
      </c>
      <c r="U92" s="36" t="n">
        <f aca="false">(1+$C$19)^(-U91)</f>
        <v>0.23621342927682</v>
      </c>
    </row>
    <row r="93" customFormat="false" ht="15" hidden="false" customHeight="false" outlineLevel="0" collapsed="false">
      <c r="A93" s="9" t="s">
        <v>383</v>
      </c>
      <c r="B93" s="35" t="s">
        <v>326</v>
      </c>
      <c r="C93" s="24" t="n">
        <f aca="false">C90*C92</f>
        <v>-1.506725651119</v>
      </c>
      <c r="D93" s="24" t="n">
        <f aca="false">D90*D92</f>
        <v>-0.688678334984484</v>
      </c>
      <c r="E93" s="24" t="n">
        <f aca="false">E90*E92</f>
        <v>0.109379559011052</v>
      </c>
      <c r="F93" s="24" t="n">
        <f aca="false">F90*F92</f>
        <v>0.975509830359896</v>
      </c>
      <c r="G93" s="24" t="n">
        <f aca="false">G90*G92</f>
        <v>2.01892372913805</v>
      </c>
      <c r="H93" s="24" t="n">
        <f aca="false">H90*H92</f>
        <v>3.10077639035051</v>
      </c>
      <c r="I93" s="24" t="n">
        <f aca="false">I90*I92</f>
        <v>3.63273433395394</v>
      </c>
      <c r="J93" s="24" t="n">
        <f aca="false">J90*J92</f>
        <v>3.49112825472956</v>
      </c>
      <c r="K93" s="24" t="n">
        <f aca="false">K90*K92</f>
        <v>3.88134821833288</v>
      </c>
      <c r="L93" s="24" t="n">
        <f aca="false">L90*L92</f>
        <v>4.38762108136182</v>
      </c>
      <c r="M93" s="24" t="n">
        <f aca="false">M90*M92</f>
        <v>4.79638841469313</v>
      </c>
      <c r="N93" s="24" t="n">
        <f aca="false">N90*N92</f>
        <v>5.00036277904738</v>
      </c>
      <c r="O93" s="24" t="n">
        <f aca="false">O90*O92</f>
        <v>4.88761408919777</v>
      </c>
      <c r="P93" s="24" t="n">
        <f aca="false">P90*P92</f>
        <v>4.71319735758582</v>
      </c>
      <c r="Q93" s="24" t="n">
        <f aca="false">Q90*Q92</f>
        <v>4.4616769025434</v>
      </c>
      <c r="R93" s="24" t="n">
        <f aca="false">R90*R92</f>
        <v>4.12102939680605</v>
      </c>
      <c r="S93" s="24" t="n">
        <f aca="false">S90*S92</f>
        <v>3.62996247036535</v>
      </c>
      <c r="T93" s="24" t="n">
        <f aca="false">T90*T92</f>
        <v>3.2515346840761</v>
      </c>
      <c r="U93" s="24" t="n">
        <f aca="false">U90*U92</f>
        <v>2.93486414918236</v>
      </c>
    </row>
    <row r="94" customFormat="false" ht="15" hidden="false" customHeight="false" outlineLevel="0" collapsed="false">
      <c r="A94" s="9" t="s">
        <v>384</v>
      </c>
      <c r="B94" s="35" t="s">
        <v>326</v>
      </c>
      <c r="C94" s="24" t="n">
        <f aca="false">IF(C$35&lt;=2032,Drivers!$C$133*C80,C80)</f>
        <v>0.42</v>
      </c>
      <c r="D94" s="24" t="n">
        <f aca="false">IF(D$35&lt;=2032,Drivers!$C$133*D80,D80)</f>
        <v>0.4025</v>
      </c>
      <c r="E94" s="24" t="n">
        <f aca="false">IF(E$35&lt;=2032,Drivers!$C$133*E80,E80)</f>
        <v>0.392</v>
      </c>
      <c r="F94" s="24" t="n">
        <f aca="false">IF(F$35&lt;=2032,Drivers!$C$133*F80,F80)</f>
        <v>0.385</v>
      </c>
      <c r="G94" s="24" t="n">
        <f aca="false">IF(G$35&lt;=2032,Drivers!$C$133*G80,G80)</f>
        <v>0.385</v>
      </c>
      <c r="H94" s="24" t="n">
        <f aca="false">IF(H$35&lt;=2032,Drivers!$C$133*H80,H80)</f>
        <v>0.385</v>
      </c>
      <c r="I94" s="24" t="n">
        <f aca="false">IF(I$35&lt;=2032,Drivers!$C$133*I80,I80)</f>
        <v>1.122</v>
      </c>
      <c r="J94" s="24" t="n">
        <f aca="false">IF(J$35&lt;=2032,Drivers!$C$133*J80,J80)</f>
        <v>1.14444</v>
      </c>
      <c r="K94" s="24" t="n">
        <f aca="false">IF(K$35&lt;=2032,Drivers!$C$133*K80,K80)</f>
        <v>1.1673288</v>
      </c>
      <c r="L94" s="24" t="n">
        <f aca="false">IF(L$35&lt;=2032,Drivers!$C$133*L80,L80)</f>
        <v>1.190675376</v>
      </c>
      <c r="M94" s="24" t="n">
        <f aca="false">IF(M$35&lt;=2032,Drivers!$C$133*M80,M80)</f>
        <v>1.21448888352</v>
      </c>
      <c r="N94" s="24" t="n">
        <f aca="false">IF(N$35&lt;=2032,Drivers!$C$133*N80,N80)</f>
        <v>1.2387786611904</v>
      </c>
      <c r="O94" s="24" t="n">
        <f aca="false">IF(O$35&lt;=2032,Drivers!$C$133*O80,O80)</f>
        <v>1.26355423441421</v>
      </c>
      <c r="P94" s="24" t="n">
        <f aca="false">IF(P$35&lt;=2032,Drivers!$C$133*P80,P80)</f>
        <v>1.28882531910249</v>
      </c>
      <c r="Q94" s="24" t="n">
        <f aca="false">IF(Q$35&lt;=2032,Drivers!$C$133*Q80,Q80)</f>
        <v>1.31460182548454</v>
      </c>
      <c r="R94" s="24" t="n">
        <f aca="false">IF(R$35&lt;=2032,Drivers!$C$133*R80,R80)</f>
        <v>1.34089386199423</v>
      </c>
      <c r="S94" s="24" t="n">
        <f aca="false">IF(S$35&lt;=2032,Drivers!$C$133*S80,S80)</f>
        <v>1.36771173923412</v>
      </c>
      <c r="T94" s="24" t="n">
        <f aca="false">IF(T$35&lt;=2032,Drivers!$C$133*T80,T80)</f>
        <v>1.3950659740188</v>
      </c>
      <c r="U94" s="24" t="n">
        <f aca="false">IF(U$35&lt;=2032,Drivers!$C$133*U80,U80)</f>
        <v>1.42296729349918</v>
      </c>
    </row>
    <row r="96" customFormat="false" ht="15" hidden="false" customHeight="false" outlineLevel="0" collapsed="false">
      <c r="A96" s="3" t="s">
        <v>385</v>
      </c>
    </row>
    <row r="97" customFormat="false" ht="15" hidden="false" customHeight="false" outlineLevel="0" collapsed="false">
      <c r="A97" s="9" t="s">
        <v>386</v>
      </c>
      <c r="C97" s="24" t="n">
        <f aca="false">Drivers!$C$34*(1+$C$19)^(-0.125)</f>
        <v>-0.455595957829077</v>
      </c>
    </row>
    <row r="98" customFormat="false" ht="15" hidden="false" customHeight="false" outlineLevel="0" collapsed="false">
      <c r="A98" s="9" t="s">
        <v>387</v>
      </c>
      <c r="C98" s="24" t="n">
        <f aca="false">SUM(C93:U93)</f>
        <v>57.1986476546316</v>
      </c>
    </row>
    <row r="99" customFormat="false" ht="15" hidden="false" customHeight="false" outlineLevel="0" collapsed="false">
      <c r="A99" s="9" t="s">
        <v>388</v>
      </c>
      <c r="C99" s="24" t="n">
        <f aca="false">U90*(1+$C$20)/($C$19-$C$20)</f>
        <v>211.218687645531</v>
      </c>
    </row>
    <row r="100" customFormat="false" ht="15" hidden="false" customHeight="false" outlineLevel="0" collapsed="false">
      <c r="A100" s="9" t="s">
        <v>389</v>
      </c>
      <c r="C100" s="24" t="n">
        <f aca="false">$C$99*(1+$C$19)^(-19.25)</f>
        <v>48.0092638526869</v>
      </c>
    </row>
    <row r="101" customFormat="false" ht="15" hidden="false" customHeight="false" outlineLevel="0" collapsed="false">
      <c r="A101" s="9" t="s">
        <v>390</v>
      </c>
      <c r="C101" s="24" t="n">
        <f aca="false">SUMPRODUCT(C94:U94,C92:U92)+U94*(1+$C$20)/($C$19-$C$20)*(1+$C$19)^(-19.25)</f>
        <v>13.6657736385753</v>
      </c>
    </row>
    <row r="102" customFormat="false" ht="15" hidden="false" customHeight="false" outlineLevel="0" collapsed="false">
      <c r="A102" s="9" t="s">
        <v>304</v>
      </c>
      <c r="C102" s="24" t="n">
        <f aca="false">$C$18*$C$101*(1-Drivers!$C$31)</f>
        <v>11.069276647246</v>
      </c>
    </row>
    <row r="103" customFormat="false" ht="15" hidden="false" customHeight="false" outlineLevel="0" collapsed="false">
      <c r="A103" s="3" t="s">
        <v>391</v>
      </c>
      <c r="C103" s="29" t="n">
        <f aca="false">$C$97+$C$98+$C$100+$C$102</f>
        <v>115.821592196735</v>
      </c>
    </row>
    <row r="104" customFormat="false" ht="15" hidden="false" customHeight="false" outlineLevel="0" collapsed="false">
      <c r="A104" s="9" t="s">
        <v>392</v>
      </c>
      <c r="C104" s="11" t="n">
        <f aca="false">IF($C$103&gt;0,$C$100/$C$103,0)</f>
        <v>0.414510480663554</v>
      </c>
    </row>
    <row r="105" customFormat="false" ht="15" hidden="false" customHeight="false" outlineLevel="0" collapsed="false">
      <c r="A105" s="9" t="s">
        <v>393</v>
      </c>
      <c r="C105" s="24" t="n">
        <f aca="false">Drivers!$C$13*(Drivers!$C$14+Drivers!$C$15*Drivers!$C$16)*(1+$C$19)^(-Drivers!$C$17)</f>
        <v>0.782407407407407</v>
      </c>
    </row>
    <row r="106" customFormat="false" ht="15" hidden="false" customHeight="false" outlineLevel="0" collapsed="false">
      <c r="A106" s="9" t="s">
        <v>394</v>
      </c>
      <c r="C106" s="24" t="n">
        <f aca="false">Drivers!$C$7+Drivers!$C$8+Drivers!$C$12+$C$105+$C$21-Drivers!$C$18</f>
        <v>4.66940740740741</v>
      </c>
    </row>
    <row r="107" customFormat="false" ht="15" hidden="false" customHeight="false" outlineLevel="0" collapsed="false">
      <c r="A107" s="3" t="s">
        <v>395</v>
      </c>
      <c r="C107" s="29" t="n">
        <f aca="false">$C$103+Drivers!$C$6-$C$106</f>
        <v>119.192184789328</v>
      </c>
    </row>
    <row r="108" customFormat="false" ht="15" hidden="false" customHeight="false" outlineLevel="0" collapsed="false">
      <c r="A108" s="9" t="s">
        <v>396</v>
      </c>
      <c r="C108" s="13" t="n">
        <f aca="false">IF(($C$107)*1000/(Drivers!$C$19+Drivers!$C$22)&lt;=Drivers!$C$21,($C$107)*1000/(Drivers!$C$19+Drivers!$C$22),IF((($C$107)*1000+Drivers!$C$20*Drivers!$C$21)/(Drivers!$C$19+Drivers!$C$22+Drivers!$C$20)&lt;=Drivers!$C$10,(($C$107)*1000+Drivers!$C$20*Drivers!$C$21)/(Drivers!$C$19+Drivers!$C$22+Drivers!$C$20),(($C$107)*1000+Drivers!$C$20*Drivers!$C$21+Drivers!$C$11*Drivers!$C$10)/(Drivers!$C$19+Drivers!$C$22+Drivers!$C$20+Drivers!$C$11)))</f>
        <v>272.721923383929</v>
      </c>
    </row>
    <row r="109" customFormat="false" ht="15" hidden="false" customHeight="false" outlineLevel="0" collapsed="false">
      <c r="A109" s="3" t="s">
        <v>397</v>
      </c>
      <c r="C109" s="30" t="n">
        <f aca="false">MAX($C$108,Drivers!$C$141)</f>
        <v>272.721923383929</v>
      </c>
    </row>
    <row r="110" customFormat="false" ht="15" hidden="false" customHeight="false" outlineLevel="0" collapsed="false">
      <c r="A110" s="9" t="s">
        <v>398</v>
      </c>
      <c r="C110" s="33" t="n">
        <f aca="false">($C$107)*1000/$C$108</f>
        <v>437.046583239049</v>
      </c>
    </row>
    <row r="111" customFormat="false" ht="15" hidden="false" customHeight="false" outlineLevel="0" collapsed="false">
      <c r="A111" s="9" t="s">
        <v>399</v>
      </c>
      <c r="C111" s="11" t="n">
        <f aca="false">$C$109/Drivers!$C$5-1</f>
        <v>0.370461926552408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7" min="2" style="0" width="13"/>
  </cols>
  <sheetData>
    <row r="1" customFormat="false" ht="17.35" hidden="false" customHeight="false" outlineLevel="0" collapsed="false">
      <c r="A1" s="1" t="s">
        <v>404</v>
      </c>
    </row>
    <row r="2" customFormat="false" ht="15" hidden="false" customHeight="false" outlineLevel="0" collapsed="false">
      <c r="A2" s="2" t="s">
        <v>405</v>
      </c>
    </row>
    <row r="4" customFormat="false" ht="15" hidden="false" customHeight="false" outlineLevel="0" collapsed="false">
      <c r="A4" s="8" t="s">
        <v>406</v>
      </c>
      <c r="B4" s="8" t="s">
        <v>407</v>
      </c>
      <c r="C4" s="8" t="s">
        <v>408</v>
      </c>
      <c r="D4" s="8" t="s">
        <v>409</v>
      </c>
      <c r="E4" s="8" t="s">
        <v>410</v>
      </c>
      <c r="F4" s="8" t="s">
        <v>411</v>
      </c>
      <c r="G4" s="8" t="s">
        <v>412</v>
      </c>
    </row>
    <row r="5" customFormat="false" ht="15" hidden="false" customHeight="false" outlineLevel="0" collapsed="false">
      <c r="A5" s="9" t="s">
        <v>413</v>
      </c>
      <c r="B5" s="19" t="n">
        <v>18471</v>
      </c>
      <c r="C5" s="19" t="n">
        <v>19263</v>
      </c>
      <c r="D5" s="19" t="n">
        <v>6848</v>
      </c>
      <c r="E5" s="19" t="n">
        <v>3236</v>
      </c>
      <c r="F5" s="19" t="n">
        <v>1944</v>
      </c>
      <c r="G5" s="19" t="n">
        <v>2228</v>
      </c>
    </row>
    <row r="6" customFormat="false" ht="15" hidden="false" customHeight="false" outlineLevel="0" collapsed="false">
      <c r="A6" s="9" t="s">
        <v>414</v>
      </c>
      <c r="B6" s="19" t="n">
        <v>2617</v>
      </c>
      <c r="C6" s="19" t="n">
        <v>5416</v>
      </c>
      <c r="D6" s="19" t="n">
        <v>4693</v>
      </c>
      <c r="E6" s="19" t="n">
        <v>1464</v>
      </c>
      <c r="F6" s="19" t="n">
        <v>868</v>
      </c>
      <c r="G6" s="19" t="n">
        <v>1707</v>
      </c>
    </row>
    <row r="7" customFormat="false" ht="15" hidden="false" customHeight="false" outlineLevel="0" collapsed="false">
      <c r="A7" s="9" t="s">
        <v>415</v>
      </c>
      <c r="B7" s="19" t="n">
        <v>1991</v>
      </c>
      <c r="C7" s="19" t="n">
        <v>3295</v>
      </c>
      <c r="D7" s="19" t="n">
        <v>4845</v>
      </c>
      <c r="E7" s="19" t="n">
        <v>4543</v>
      </c>
      <c r="F7" s="19" t="n">
        <v>3132</v>
      </c>
      <c r="G7" s="19" t="n">
        <v>2876</v>
      </c>
    </row>
    <row r="8" customFormat="false" ht="15" hidden="false" customHeight="false" outlineLevel="0" collapsed="false">
      <c r="A8" s="9" t="s">
        <v>416</v>
      </c>
      <c r="B8" s="19" t="n">
        <v>567</v>
      </c>
      <c r="C8" s="19" t="n">
        <v>1132</v>
      </c>
      <c r="D8" s="19" t="n">
        <v>1549</v>
      </c>
      <c r="E8" s="19" t="n">
        <v>1174</v>
      </c>
      <c r="F8" s="19" t="n">
        <v>1018</v>
      </c>
      <c r="G8" s="19" t="n">
        <v>965</v>
      </c>
    </row>
    <row r="9" customFormat="false" ht="15" hidden="false" customHeight="false" outlineLevel="0" collapsed="false">
      <c r="A9" s="9" t="s">
        <v>373</v>
      </c>
      <c r="B9" s="19" t="n">
        <v>13296</v>
      </c>
      <c r="C9" s="19" t="n">
        <v>9420</v>
      </c>
      <c r="D9" s="19" t="n">
        <v>-4239</v>
      </c>
      <c r="E9" s="19" t="n">
        <v>-3945</v>
      </c>
      <c r="F9" s="19" t="n">
        <v>-3074</v>
      </c>
      <c r="G9" s="19" t="n">
        <v>-3320</v>
      </c>
    </row>
    <row r="10" customFormat="false" ht="15" hidden="false" customHeight="false" outlineLevel="0" collapsed="false">
      <c r="A10" s="9" t="s">
        <v>417</v>
      </c>
      <c r="B10" s="19" t="n">
        <v>142</v>
      </c>
      <c r="C10" s="19" t="n">
        <v>226</v>
      </c>
      <c r="D10" s="19" t="n">
        <v>305</v>
      </c>
      <c r="E10" s="19" t="n">
        <v>429</v>
      </c>
      <c r="F10" s="19" t="n">
        <v>483</v>
      </c>
      <c r="G10" s="19" t="n">
        <v>462</v>
      </c>
    </row>
    <row r="11" customFormat="false" ht="15" hidden="false" customHeight="false" outlineLevel="0" collapsed="false">
      <c r="A11" s="9" t="s">
        <v>418</v>
      </c>
      <c r="B11" s="19" t="n">
        <v>232</v>
      </c>
      <c r="C11" s="19" t="n">
        <v>348</v>
      </c>
      <c r="D11" s="19" t="n">
        <v>617</v>
      </c>
      <c r="E11" s="19" t="n">
        <v>185</v>
      </c>
      <c r="F11" s="19" t="n">
        <v>211</v>
      </c>
      <c r="G11" s="19" t="n">
        <v>229</v>
      </c>
    </row>
    <row r="12" customFormat="false" ht="15" hidden="false" customHeight="false" outlineLevel="0" collapsed="false">
      <c r="A12" s="9" t="s">
        <v>419</v>
      </c>
      <c r="B12" s="19" t="n">
        <v>0</v>
      </c>
      <c r="C12" s="19" t="n">
        <v>1917</v>
      </c>
      <c r="D12" s="19" t="n">
        <v>2341</v>
      </c>
      <c r="E12" s="19" t="n">
        <v>555</v>
      </c>
      <c r="F12" s="19" t="n">
        <v>315</v>
      </c>
      <c r="G12" s="19" t="n">
        <v>297</v>
      </c>
    </row>
    <row r="13" customFormat="false" ht="15" hidden="false" customHeight="false" outlineLevel="0" collapsed="false">
      <c r="A13" s="9" t="s">
        <v>420</v>
      </c>
      <c r="B13" s="19" t="n">
        <v>18</v>
      </c>
      <c r="C13" s="19" t="n">
        <v>200</v>
      </c>
      <c r="D13" s="19" t="n">
        <v>421</v>
      </c>
      <c r="E13" s="19" t="n">
        <v>425</v>
      </c>
      <c r="F13" s="19" t="n">
        <v>314</v>
      </c>
      <c r="G13" s="19" t="n">
        <v>282</v>
      </c>
    </row>
    <row r="14" customFormat="false" ht="15" hidden="false" customHeight="false" outlineLevel="0" collapsed="false">
      <c r="A14" s="9" t="s">
        <v>421</v>
      </c>
      <c r="B14" s="19" t="n">
        <v>12202</v>
      </c>
      <c r="C14" s="19" t="n">
        <v>8362</v>
      </c>
      <c r="D14" s="19" t="n">
        <v>-4714</v>
      </c>
      <c r="E14" s="19" t="n">
        <v>-3561</v>
      </c>
      <c r="F14" s="19" t="n">
        <v>-2822</v>
      </c>
      <c r="G14" s="19" t="n">
        <v>-3151</v>
      </c>
    </row>
    <row r="15" customFormat="false" ht="15" hidden="false" customHeight="false" outlineLevel="0" collapsed="false">
      <c r="A15" s="9" t="s">
        <v>422</v>
      </c>
      <c r="B15" s="19" t="n">
        <v>13620</v>
      </c>
      <c r="C15" s="19" t="n">
        <v>4981</v>
      </c>
      <c r="D15" s="19" t="n">
        <v>-3118</v>
      </c>
      <c r="E15" s="19" t="n">
        <v>-3004</v>
      </c>
      <c r="F15" s="19" t="n">
        <v>-1873</v>
      </c>
      <c r="G15" s="19" t="n">
        <v>-1073</v>
      </c>
    </row>
    <row r="16" customFormat="false" ht="15" hidden="false" customHeight="false" outlineLevel="0" collapsed="false">
      <c r="A16" s="9" t="s">
        <v>370</v>
      </c>
      <c r="B16" s="19" t="n">
        <v>284</v>
      </c>
      <c r="C16" s="19" t="n">
        <v>400</v>
      </c>
      <c r="D16" s="19" t="n">
        <v>707</v>
      </c>
      <c r="E16" s="19" t="n">
        <v>1051</v>
      </c>
      <c r="F16" s="19" t="n">
        <v>192</v>
      </c>
      <c r="G16" s="19" t="n">
        <v>171</v>
      </c>
    </row>
    <row r="17" customFormat="false" ht="15" hidden="false" customHeight="false" outlineLevel="0" collapsed="false">
      <c r="A17" s="9" t="s">
        <v>423</v>
      </c>
      <c r="B17" s="19" t="n">
        <v>480</v>
      </c>
      <c r="C17" s="19" t="n">
        <v>2729</v>
      </c>
      <c r="D17" s="19" t="n">
        <v>-357</v>
      </c>
      <c r="E17" s="19" t="n">
        <v>197</v>
      </c>
      <c r="F17" s="19" t="n">
        <v>26</v>
      </c>
      <c r="G17" s="37"/>
    </row>
    <row r="18" customFormat="false" ht="15" hidden="false" customHeight="false" outlineLevel="0" collapsed="false">
      <c r="A18" s="9" t="s">
        <v>424</v>
      </c>
      <c r="B18" s="19" t="n">
        <v>6848</v>
      </c>
      <c r="C18" s="19" t="n">
        <v>3205</v>
      </c>
      <c r="D18" s="19" t="n">
        <v>2907</v>
      </c>
      <c r="E18" s="19" t="n">
        <v>1927</v>
      </c>
      <c r="F18" s="19" t="n">
        <v>2595</v>
      </c>
      <c r="G18" s="19" t="n">
        <v>1723</v>
      </c>
    </row>
    <row r="19" customFormat="false" ht="15" hidden="false" customHeight="false" outlineLevel="0" collapsed="false">
      <c r="A19" s="9" t="s">
        <v>425</v>
      </c>
      <c r="B19" s="19" t="n">
        <v>10722</v>
      </c>
      <c r="C19" s="19" t="n">
        <v>15015</v>
      </c>
      <c r="D19" s="19" t="n">
        <v>10374</v>
      </c>
      <c r="E19" s="19" t="n">
        <v>7592</v>
      </c>
      <c r="F19" s="19" t="n">
        <v>5540</v>
      </c>
      <c r="G19" s="19" t="n">
        <v>5187</v>
      </c>
    </row>
    <row r="20" customFormat="false" ht="15" hidden="false" customHeight="false" outlineLevel="0" collapsed="false">
      <c r="A20" s="9" t="s">
        <v>426</v>
      </c>
      <c r="B20" s="19" t="n">
        <v>24669</v>
      </c>
      <c r="C20" s="19" t="n">
        <v>25858</v>
      </c>
      <c r="D20" s="19" t="n">
        <v>18426</v>
      </c>
      <c r="E20" s="19" t="n">
        <v>14142</v>
      </c>
      <c r="F20" s="19" t="n">
        <v>12338</v>
      </c>
      <c r="G20" s="19" t="n">
        <v>10961</v>
      </c>
    </row>
    <row r="21" customFormat="false" ht="15" hidden="false" customHeight="false" outlineLevel="0" collapsed="false">
      <c r="A21" s="9" t="s">
        <v>427</v>
      </c>
      <c r="B21" s="19" t="n">
        <v>9128</v>
      </c>
      <c r="C21" s="19" t="n">
        <v>4923</v>
      </c>
      <c r="D21" s="19" t="n">
        <v>3015</v>
      </c>
      <c r="E21" s="19" t="n">
        <v>2206</v>
      </c>
      <c r="F21" s="19" t="n">
        <v>1987</v>
      </c>
      <c r="G21" s="19" t="n">
        <v>2534</v>
      </c>
    </row>
    <row r="22" customFormat="false" ht="15" hidden="false" customHeight="false" outlineLevel="0" collapsed="false">
      <c r="A22" s="9" t="s">
        <v>428</v>
      </c>
      <c r="B22" s="19" t="n">
        <v>14145</v>
      </c>
      <c r="C22" s="19" t="n">
        <v>19123</v>
      </c>
      <c r="D22" s="19" t="n">
        <v>13854</v>
      </c>
      <c r="E22" s="19" t="n">
        <v>10901</v>
      </c>
      <c r="F22" s="19" t="n">
        <v>8650</v>
      </c>
      <c r="G22" s="19" t="n">
        <v>6761</v>
      </c>
    </row>
    <row r="23" customFormat="false" ht="15" hidden="false" customHeight="false" outlineLevel="0" collapsed="false">
      <c r="A23" s="9" t="s">
        <v>429</v>
      </c>
      <c r="B23" s="19" t="n">
        <v>3175</v>
      </c>
      <c r="C23" s="19" t="n">
        <v>1385</v>
      </c>
      <c r="D23" s="19" t="n">
        <v>892</v>
      </c>
      <c r="E23" s="19" t="n">
        <v>358</v>
      </c>
      <c r="F23" s="19" t="n">
        <v>184</v>
      </c>
      <c r="G23" s="19" t="n">
        <v>17</v>
      </c>
    </row>
    <row r="24" customFormat="false" ht="15" hidden="false" customHeight="false" outlineLevel="0" collapsed="false">
      <c r="A24" s="9" t="s">
        <v>430</v>
      </c>
      <c r="B24" s="19" t="n">
        <v>1441</v>
      </c>
      <c r="C24" s="19" t="n">
        <v>949</v>
      </c>
      <c r="D24" s="19" t="n">
        <v>202</v>
      </c>
      <c r="E24" s="19" t="n">
        <v>117</v>
      </c>
      <c r="F24" s="19" t="n">
        <v>153</v>
      </c>
      <c r="G24" s="19" t="n">
        <v>280</v>
      </c>
    </row>
    <row r="25" customFormat="false" ht="15" hidden="false" customHeight="false" outlineLevel="0" collapsed="false">
      <c r="A25" s="9" t="s">
        <v>431</v>
      </c>
      <c r="B25" s="19" t="n">
        <v>6868</v>
      </c>
      <c r="C25" s="19" t="n">
        <v>2711</v>
      </c>
      <c r="D25" s="19" t="n">
        <v>651</v>
      </c>
      <c r="E25" s="19" t="n">
        <v>211</v>
      </c>
      <c r="F25" s="19" t="n">
        <v>252</v>
      </c>
      <c r="G25" s="19" t="n">
        <v>442</v>
      </c>
    </row>
    <row r="26" customFormat="false" ht="15" hidden="false" customHeight="false" outlineLevel="0" collapsed="false">
      <c r="A26" s="9" t="s">
        <v>432</v>
      </c>
      <c r="B26" s="19" t="n">
        <v>764</v>
      </c>
      <c r="C26" s="19" t="n">
        <v>1073</v>
      </c>
      <c r="D26" s="19" t="n">
        <v>575</v>
      </c>
      <c r="E26" s="19" t="n">
        <v>62</v>
      </c>
      <c r="F26" s="19" t="n">
        <v>635</v>
      </c>
      <c r="G26" s="19" t="n">
        <v>628</v>
      </c>
    </row>
    <row r="27" customFormat="false" ht="15" hidden="false" customHeight="false" outlineLevel="0" collapsed="false">
      <c r="A27" s="9" t="s">
        <v>433</v>
      </c>
      <c r="B27" s="19" t="n">
        <v>431</v>
      </c>
      <c r="C27" s="19" t="n">
        <v>416</v>
      </c>
      <c r="D27" s="19" t="n">
        <v>382</v>
      </c>
      <c r="E27" s="19" t="n">
        <v>384</v>
      </c>
      <c r="F27" s="19" t="n">
        <v>389</v>
      </c>
      <c r="G27" s="19" t="n">
        <v>398</v>
      </c>
    </row>
    <row r="28" customFormat="false" ht="15" hidden="false" customHeight="false" outlineLevel="0" collapsed="false">
      <c r="A28" s="9" t="s">
        <v>434</v>
      </c>
      <c r="B28" s="19" t="n">
        <v>403</v>
      </c>
      <c r="C28" s="19" t="n">
        <v>385</v>
      </c>
      <c r="D28" s="19" t="n">
        <v>382</v>
      </c>
      <c r="E28" s="19" t="n">
        <v>386</v>
      </c>
      <c r="F28" s="19" t="n">
        <v>394</v>
      </c>
      <c r="G28" s="19" t="n">
        <v>399</v>
      </c>
    </row>
    <row r="29" customFormat="false" ht="15" hidden="false" customHeight="false" outlineLevel="0" collapsed="false">
      <c r="A29" s="9" t="s">
        <v>435</v>
      </c>
      <c r="B29" s="19" t="n">
        <v>857</v>
      </c>
      <c r="C29" s="19" t="n">
        <v>3329</v>
      </c>
      <c r="D29" s="19" t="n">
        <v>1153</v>
      </c>
      <c r="E29" s="19" t="n">
        <v>0</v>
      </c>
      <c r="F29" s="19" t="n">
        <v>2</v>
      </c>
      <c r="G29" s="19" t="n">
        <v>0</v>
      </c>
    </row>
    <row r="30" customFormat="false" ht="15" hidden="false" customHeight="false" outlineLevel="0" collapsed="false">
      <c r="A30" s="9" t="s">
        <v>436</v>
      </c>
      <c r="B30" s="19" t="n">
        <v>0</v>
      </c>
      <c r="C30" s="19" t="n">
        <v>0</v>
      </c>
      <c r="D30" s="19" t="n">
        <v>0</v>
      </c>
      <c r="E30" s="19" t="n">
        <v>0</v>
      </c>
      <c r="F30" s="19" t="n">
        <v>0</v>
      </c>
      <c r="G30" s="19" t="n">
        <v>882</v>
      </c>
    </row>
    <row r="31" customFormat="false" ht="15" hidden="false" customHeight="false" outlineLevel="0" collapsed="false">
      <c r="A31" s="9" t="s">
        <v>437</v>
      </c>
      <c r="B31" s="19" t="n">
        <v>13296</v>
      </c>
      <c r="C31" s="19" t="n">
        <v>9420</v>
      </c>
      <c r="D31" s="19" t="n">
        <v>-4239</v>
      </c>
      <c r="E31" s="19" t="n">
        <v>-3945</v>
      </c>
      <c r="F31" s="19" t="n">
        <v>-3074</v>
      </c>
      <c r="G31" s="19" t="n">
        <v>-2438</v>
      </c>
    </row>
    <row r="32" customFormat="false" ht="15" hidden="false" customHeight="false" outlineLevel="0" collapsed="false">
      <c r="A32" s="9" t="s">
        <v>438</v>
      </c>
      <c r="B32" s="19" t="n">
        <v>13528</v>
      </c>
      <c r="C32" s="19" t="n">
        <v>9768</v>
      </c>
      <c r="D32" s="19" t="n">
        <v>-3622</v>
      </c>
      <c r="E32" s="19" t="n">
        <v>-3760</v>
      </c>
      <c r="F32" s="19" t="n">
        <v>-2863</v>
      </c>
      <c r="G32" s="19" t="n">
        <v>-2209</v>
      </c>
    </row>
    <row r="33" customFormat="false" ht="15" hidden="false" customHeight="false" outlineLevel="0" collapsed="false">
      <c r="A33" s="9" t="s">
        <v>439</v>
      </c>
      <c r="B33" s="19" t="n">
        <v>0.858318445130204</v>
      </c>
      <c r="C33" s="19" t="n">
        <v>0.718839225458132</v>
      </c>
      <c r="D33" s="19" t="n">
        <v>0.314690420560748</v>
      </c>
      <c r="E33" s="19" t="n">
        <v>0.547589616810878</v>
      </c>
      <c r="F33" s="19" t="n">
        <v>0.553497942386831</v>
      </c>
      <c r="G33" s="19" t="n">
        <v>0.233842010771993</v>
      </c>
    </row>
    <row r="34" customFormat="false" ht="15" hidden="false" customHeight="false" outlineLevel="0" collapsed="false">
      <c r="A34" s="9" t="s">
        <v>440</v>
      </c>
      <c r="B34" s="19" t="n">
        <v>0.858318445130204</v>
      </c>
      <c r="C34" s="19" t="n">
        <v>0.818356434615584</v>
      </c>
      <c r="D34" s="19" t="n">
        <v>0.656542056074766</v>
      </c>
      <c r="E34" s="19" t="n">
        <v>0.719097651421508</v>
      </c>
      <c r="F34" s="19" t="n">
        <v>0.715534979423868</v>
      </c>
      <c r="G34" s="19" t="n">
        <v>0.763016157989228</v>
      </c>
    </row>
    <row r="35" customFormat="false" ht="15" hidden="false" customHeight="false" outlineLevel="0" collapsed="false">
      <c r="A35" s="9" t="s">
        <v>441</v>
      </c>
      <c r="B35" s="19" t="n">
        <v>0.719831086568134</v>
      </c>
      <c r="C35" s="19" t="n">
        <v>0.489020401806572</v>
      </c>
      <c r="D35" s="19" t="n">
        <v>-0.61901285046729</v>
      </c>
      <c r="E35" s="19" t="n">
        <v>-1.21909765142151</v>
      </c>
      <c r="F35" s="19" t="n">
        <v>-1.58127572016461</v>
      </c>
      <c r="G35" s="19" t="n">
        <v>-1.09425493716338</v>
      </c>
    </row>
    <row r="36" customFormat="false" ht="15" hidden="false" customHeight="false" outlineLevel="0" collapsed="false">
      <c r="A36" s="9" t="s">
        <v>442</v>
      </c>
      <c r="B36" s="19" t="n">
        <v>0.107790590655622</v>
      </c>
      <c r="C36" s="19" t="n">
        <v>0.171053314644656</v>
      </c>
      <c r="D36" s="19" t="n">
        <v>0.707505841121495</v>
      </c>
      <c r="E36" s="19" t="n">
        <v>1.40389369592089</v>
      </c>
      <c r="F36" s="19" t="n">
        <v>1.61111111111111</v>
      </c>
      <c r="G36" s="19" t="n">
        <v>1.29084380610413</v>
      </c>
    </row>
    <row r="37" customFormat="false" ht="15" hidden="false" customHeight="false" outlineLevel="0" collapsed="false">
      <c r="A37" s="9" t="s">
        <v>443</v>
      </c>
      <c r="B37" s="19" t="n">
        <v>12816</v>
      </c>
      <c r="C37" s="19" t="n">
        <v>6691</v>
      </c>
      <c r="D37" s="19" t="n">
        <v>-4239</v>
      </c>
      <c r="E37" s="19" t="n">
        <v>-3945</v>
      </c>
      <c r="F37" s="19" t="n">
        <v>-3074</v>
      </c>
      <c r="G37" s="19" t="n">
        <v>-2438</v>
      </c>
    </row>
    <row r="38" customFormat="false" ht="15" hidden="false" customHeight="false" outlineLevel="0" collapsed="false">
      <c r="A38" s="9" t="s">
        <v>444</v>
      </c>
      <c r="B38" s="19" t="n">
        <v>-2029</v>
      </c>
      <c r="C38" s="19" t="n">
        <v>2715</v>
      </c>
      <c r="D38" s="19" t="n">
        <v>2130</v>
      </c>
      <c r="E38" s="19" t="n">
        <v>2417</v>
      </c>
      <c r="F38" s="19" t="n">
        <v>2216</v>
      </c>
      <c r="G38" s="19" t="n">
        <v>1517</v>
      </c>
    </row>
    <row r="39" customFormat="false" ht="15" hidden="false" customHeight="false" outlineLevel="0" collapsed="false">
      <c r="A39" s="9" t="s">
        <v>445</v>
      </c>
      <c r="B39" s="19" t="n">
        <v>-6.31641202562839</v>
      </c>
      <c r="C39" s="19" t="n">
        <v>2.46445672191529</v>
      </c>
      <c r="D39" s="19" t="n">
        <v>-1.99014084507042</v>
      </c>
      <c r="E39" s="19" t="n">
        <v>-1.6321886636326</v>
      </c>
      <c r="F39" s="19" t="n">
        <v>-1.38718411552347</v>
      </c>
      <c r="G39" s="19" t="n">
        <v>-1.60711931443639</v>
      </c>
    </row>
    <row r="40" customFormat="false" ht="15" hidden="false" customHeight="false" outlineLevel="0" collapsed="false">
      <c r="A40" s="9" t="s">
        <v>446</v>
      </c>
      <c r="B40" s="19" t="n">
        <v>13336</v>
      </c>
      <c r="C40" s="19" t="n">
        <v>4581</v>
      </c>
      <c r="D40" s="19" t="n">
        <v>-3825</v>
      </c>
      <c r="E40" s="19" t="n">
        <v>-4055</v>
      </c>
      <c r="F40" s="19" t="n">
        <v>-2065</v>
      </c>
      <c r="G40" s="19" t="n">
        <v>-1244</v>
      </c>
    </row>
    <row r="41" customFormat="false" ht="15" hidden="false" customHeight="false" outlineLevel="0" collapsed="false">
      <c r="A41" s="9" t="s">
        <v>447</v>
      </c>
      <c r="B41" s="19" t="n">
        <v>13194</v>
      </c>
      <c r="C41" s="19" t="n">
        <v>4355</v>
      </c>
      <c r="D41" s="19" t="n">
        <v>-4130</v>
      </c>
      <c r="E41" s="19" t="n">
        <v>-4484</v>
      </c>
      <c r="F41" s="19" t="n">
        <v>-2548</v>
      </c>
      <c r="G41" s="19" t="n">
        <v>-1706</v>
      </c>
    </row>
    <row r="42" customFormat="false" ht="15" hidden="false" customHeight="false" outlineLevel="0" collapsed="false">
      <c r="A42" s="9" t="s">
        <v>448</v>
      </c>
      <c r="B42" s="19" t="n">
        <v>16806</v>
      </c>
      <c r="C42" s="19" t="n">
        <v>17147</v>
      </c>
      <c r="D42" s="19" t="n">
        <v>12706</v>
      </c>
      <c r="E42" s="19" t="n">
        <v>9457</v>
      </c>
      <c r="F42" s="19" t="n">
        <v>7500</v>
      </c>
      <c r="G42" s="19" t="n">
        <v>6282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7" min="2" style="0" width="13"/>
  </cols>
  <sheetData>
    <row r="1" customFormat="false" ht="17.35" hidden="false" customHeight="false" outlineLevel="0" collapsed="false">
      <c r="A1" s="1" t="s">
        <v>449</v>
      </c>
    </row>
    <row r="2" customFormat="false" ht="15" hidden="false" customHeight="false" outlineLevel="0" collapsed="false">
      <c r="A2" s="2" t="s">
        <v>450</v>
      </c>
    </row>
    <row r="4" customFormat="false" ht="15" hidden="false" customHeight="false" outlineLevel="0" collapsed="false">
      <c r="A4" s="8" t="s">
        <v>451</v>
      </c>
      <c r="B4" s="8" t="s">
        <v>407</v>
      </c>
      <c r="C4" s="8" t="s">
        <v>408</v>
      </c>
      <c r="D4" s="8" t="s">
        <v>409</v>
      </c>
      <c r="E4" s="8" t="s">
        <v>410</v>
      </c>
      <c r="F4" s="8" t="s">
        <v>411</v>
      </c>
      <c r="G4" s="8" t="s">
        <v>412</v>
      </c>
    </row>
    <row r="5" customFormat="false" ht="15" hidden="false" customHeight="false" outlineLevel="0" collapsed="false">
      <c r="A5" s="9" t="s">
        <v>421</v>
      </c>
      <c r="B5" s="19" t="n">
        <v>12202</v>
      </c>
      <c r="C5" s="19" t="n">
        <v>8362</v>
      </c>
      <c r="D5" s="19" t="n">
        <v>-4714</v>
      </c>
      <c r="E5" s="19" t="n">
        <v>-3561</v>
      </c>
      <c r="F5" s="19" t="n">
        <v>-2822</v>
      </c>
      <c r="G5" s="19" t="n">
        <v>-3151</v>
      </c>
    </row>
    <row r="6" customFormat="false" ht="15" hidden="false" customHeight="false" outlineLevel="0" collapsed="false">
      <c r="A6" s="9" t="s">
        <v>417</v>
      </c>
      <c r="B6" s="19" t="n">
        <v>142</v>
      </c>
      <c r="C6" s="19" t="n">
        <v>226</v>
      </c>
      <c r="D6" s="19" t="n">
        <v>305</v>
      </c>
      <c r="E6" s="19" t="n">
        <v>429</v>
      </c>
      <c r="F6" s="19" t="n">
        <v>483</v>
      </c>
      <c r="G6" s="19" t="n">
        <v>462</v>
      </c>
    </row>
    <row r="7" customFormat="false" ht="15" hidden="false" customHeight="false" outlineLevel="0" collapsed="false">
      <c r="A7" s="9" t="s">
        <v>418</v>
      </c>
      <c r="B7" s="19" t="n">
        <v>232</v>
      </c>
      <c r="C7" s="19" t="n">
        <v>348</v>
      </c>
      <c r="D7" s="19" t="n">
        <v>617</v>
      </c>
      <c r="E7" s="19" t="n">
        <v>185</v>
      </c>
      <c r="F7" s="19" t="n">
        <v>211</v>
      </c>
      <c r="G7" s="19" t="n">
        <v>229</v>
      </c>
    </row>
    <row r="8" customFormat="false" ht="15" hidden="false" customHeight="false" outlineLevel="0" collapsed="false">
      <c r="A8" s="9" t="s">
        <v>452</v>
      </c>
      <c r="B8" s="19" t="n">
        <v>0</v>
      </c>
      <c r="C8" s="19" t="n">
        <v>1917</v>
      </c>
      <c r="D8" s="19" t="n">
        <v>2341</v>
      </c>
      <c r="E8" s="19" t="n">
        <v>555</v>
      </c>
      <c r="F8" s="19" t="n">
        <v>315</v>
      </c>
      <c r="G8" s="19" t="n">
        <v>297</v>
      </c>
    </row>
    <row r="9" customFormat="false" ht="15" hidden="false" customHeight="false" outlineLevel="0" collapsed="false">
      <c r="A9" s="9" t="s">
        <v>453</v>
      </c>
      <c r="B9" s="19" t="n">
        <v>1044</v>
      </c>
      <c r="C9" s="19" t="n">
        <v>-5872</v>
      </c>
      <c r="D9" s="19" t="n">
        <v>-1667</v>
      </c>
      <c r="E9" s="19" t="n">
        <v>-612</v>
      </c>
      <c r="F9" s="19" t="n">
        <v>-60</v>
      </c>
      <c r="G9" s="19" t="n">
        <v>1090</v>
      </c>
    </row>
    <row r="10" customFormat="false" ht="15" hidden="false" customHeight="false" outlineLevel="0" collapsed="false">
      <c r="A10" s="9" t="s">
        <v>422</v>
      </c>
      <c r="B10" s="19" t="n">
        <v>13620</v>
      </c>
      <c r="C10" s="19" t="n">
        <v>4981</v>
      </c>
      <c r="D10" s="19" t="n">
        <v>-3118</v>
      </c>
      <c r="E10" s="19" t="n">
        <v>-3004</v>
      </c>
      <c r="F10" s="19" t="n">
        <v>-1873</v>
      </c>
      <c r="G10" s="19" t="n">
        <v>-1073</v>
      </c>
    </row>
    <row r="11" customFormat="false" ht="15" hidden="false" customHeight="false" outlineLevel="0" collapsed="false">
      <c r="A11" s="9" t="s">
        <v>370</v>
      </c>
      <c r="B11" s="19" t="n">
        <v>-284</v>
      </c>
      <c r="C11" s="19" t="n">
        <v>-400</v>
      </c>
      <c r="D11" s="19" t="n">
        <v>-707</v>
      </c>
      <c r="E11" s="19" t="n">
        <v>-1051</v>
      </c>
      <c r="F11" s="19" t="n">
        <v>-192</v>
      </c>
      <c r="G11" s="19" t="n">
        <v>-171</v>
      </c>
    </row>
    <row r="12" customFormat="false" ht="15" hidden="false" customHeight="false" outlineLevel="0" collapsed="false">
      <c r="A12" s="9" t="s">
        <v>446</v>
      </c>
      <c r="B12" s="19" t="n">
        <v>13336</v>
      </c>
      <c r="C12" s="19" t="n">
        <v>4581</v>
      </c>
      <c r="D12" s="19" t="n">
        <v>-3825</v>
      </c>
      <c r="E12" s="19" t="n">
        <v>-4055</v>
      </c>
      <c r="F12" s="19" t="n">
        <v>-2065</v>
      </c>
      <c r="G12" s="19" t="n">
        <v>-1244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3" min="2" style="0" width="13"/>
  </cols>
  <sheetData>
    <row r="1" customFormat="false" ht="17.35" hidden="false" customHeight="false" outlineLevel="0" collapsed="false">
      <c r="A1" s="1" t="s">
        <v>454</v>
      </c>
    </row>
    <row r="2" customFormat="false" ht="15" hidden="false" customHeight="false" outlineLevel="0" collapsed="false">
      <c r="A2" s="2" t="s">
        <v>455</v>
      </c>
    </row>
    <row r="4" customFormat="false" ht="15" hidden="false" customHeight="false" outlineLevel="0" collapsed="false">
      <c r="A4" s="8" t="s">
        <v>456</v>
      </c>
      <c r="B4" s="8" t="s">
        <v>457</v>
      </c>
      <c r="C4" s="8" t="s">
        <v>458</v>
      </c>
      <c r="D4" s="8" t="s">
        <v>459</v>
      </c>
      <c r="E4" s="8" t="s">
        <v>460</v>
      </c>
      <c r="F4" s="8" t="s">
        <v>461</v>
      </c>
      <c r="G4" s="8" t="s">
        <v>462</v>
      </c>
      <c r="H4" s="8" t="s">
        <v>463</v>
      </c>
      <c r="I4" s="8" t="s">
        <v>464</v>
      </c>
      <c r="J4" s="8" t="s">
        <v>465</v>
      </c>
      <c r="K4" s="8" t="s">
        <v>466</v>
      </c>
      <c r="L4" s="8" t="s">
        <v>467</v>
      </c>
      <c r="M4" s="8" t="s">
        <v>468</v>
      </c>
    </row>
    <row r="5" customFormat="false" ht="15" hidden="false" customHeight="false" outlineLevel="0" collapsed="false">
      <c r="A5" s="9" t="s">
        <v>469</v>
      </c>
      <c r="B5" s="37" t="s">
        <v>470</v>
      </c>
      <c r="C5" s="37" t="s">
        <v>471</v>
      </c>
      <c r="D5" s="37" t="s">
        <v>472</v>
      </c>
      <c r="E5" s="37" t="s">
        <v>473</v>
      </c>
      <c r="F5" s="37" t="s">
        <v>474</v>
      </c>
      <c r="G5" s="19" t="n">
        <v>18.5</v>
      </c>
      <c r="H5" s="19" t="n">
        <v>18.5</v>
      </c>
      <c r="I5" s="19" t="n">
        <v>17.7</v>
      </c>
      <c r="J5" s="19" t="n">
        <v>18.4</v>
      </c>
      <c r="K5" s="37" t="s">
        <v>475</v>
      </c>
      <c r="L5" s="19" t="n">
        <v>12</v>
      </c>
      <c r="M5" s="37" t="s">
        <v>476</v>
      </c>
    </row>
    <row r="6" customFormat="false" ht="15" hidden="false" customHeight="false" outlineLevel="0" collapsed="false">
      <c r="A6" s="9" t="s">
        <v>477</v>
      </c>
      <c r="B6" s="37" t="s">
        <v>470</v>
      </c>
      <c r="C6" s="37" t="s">
        <v>471</v>
      </c>
      <c r="D6" s="37" t="s">
        <v>472</v>
      </c>
      <c r="E6" s="37" t="s">
        <v>478</v>
      </c>
      <c r="F6" s="37" t="s">
        <v>479</v>
      </c>
      <c r="G6" s="19" t="n">
        <v>21</v>
      </c>
      <c r="H6" s="19" t="n">
        <v>21</v>
      </c>
      <c r="I6" s="19" t="n">
        <v>17.7</v>
      </c>
      <c r="J6" s="19" t="n">
        <v>18.4</v>
      </c>
      <c r="K6" s="37" t="s">
        <v>475</v>
      </c>
      <c r="L6" s="19" t="n">
        <v>8</v>
      </c>
      <c r="M6" s="37" t="s">
        <v>480</v>
      </c>
    </row>
    <row r="7" customFormat="false" ht="15" hidden="false" customHeight="false" outlineLevel="0" collapsed="false">
      <c r="A7" s="9" t="s">
        <v>481</v>
      </c>
      <c r="B7" s="37" t="s">
        <v>482</v>
      </c>
      <c r="C7" s="37" t="s">
        <v>471</v>
      </c>
      <c r="D7" s="37" t="s">
        <v>483</v>
      </c>
      <c r="E7" s="37" t="s">
        <v>484</v>
      </c>
      <c r="F7" s="37" t="s">
        <v>485</v>
      </c>
      <c r="G7" s="19" t="n">
        <v>5</v>
      </c>
      <c r="H7" s="19" t="n">
        <v>5</v>
      </c>
      <c r="I7" s="19" t="n">
        <v>18.4</v>
      </c>
      <c r="J7" s="19" t="n">
        <v>6.67</v>
      </c>
      <c r="K7" s="37" t="s">
        <v>475</v>
      </c>
      <c r="L7" s="19" t="n">
        <v>12</v>
      </c>
      <c r="M7" s="37" t="s">
        <v>486</v>
      </c>
    </row>
    <row r="8" customFormat="false" ht="15" hidden="false" customHeight="false" outlineLevel="0" collapsed="false">
      <c r="A8" s="9" t="s">
        <v>487</v>
      </c>
      <c r="B8" s="37" t="s">
        <v>482</v>
      </c>
      <c r="C8" s="37" t="s">
        <v>471</v>
      </c>
      <c r="D8" s="37" t="s">
        <v>483</v>
      </c>
      <c r="E8" s="37" t="s">
        <v>488</v>
      </c>
      <c r="F8" s="37" t="s">
        <v>489</v>
      </c>
      <c r="G8" s="19" t="n">
        <v>6</v>
      </c>
      <c r="H8" s="19" t="n">
        <v>8</v>
      </c>
      <c r="I8" s="19" t="n">
        <v>18.4</v>
      </c>
      <c r="J8" s="19" t="n">
        <v>6.67</v>
      </c>
      <c r="K8" s="37" t="s">
        <v>475</v>
      </c>
      <c r="L8" s="19" t="n">
        <v>5</v>
      </c>
      <c r="M8" s="37"/>
    </row>
    <row r="9" customFormat="false" ht="15" hidden="false" customHeight="false" outlineLevel="0" collapsed="false">
      <c r="A9" s="9" t="s">
        <v>490</v>
      </c>
      <c r="B9" s="37" t="s">
        <v>491</v>
      </c>
      <c r="C9" s="37" t="s">
        <v>471</v>
      </c>
      <c r="D9" s="37" t="s">
        <v>492</v>
      </c>
      <c r="E9" s="37" t="s">
        <v>493</v>
      </c>
      <c r="F9" s="37" t="s">
        <v>494</v>
      </c>
      <c r="G9" s="19" t="n">
        <v>4</v>
      </c>
      <c r="H9" s="19" t="n">
        <v>4</v>
      </c>
      <c r="I9" s="19" t="n">
        <v>6.67</v>
      </c>
      <c r="J9" s="19" t="n">
        <v>3.11</v>
      </c>
      <c r="K9" s="37" t="s">
        <v>475</v>
      </c>
      <c r="L9" s="19" t="n">
        <v>14</v>
      </c>
      <c r="M9" s="37" t="s">
        <v>495</v>
      </c>
    </row>
    <row r="10" customFormat="false" ht="15" hidden="false" customHeight="false" outlineLevel="0" collapsed="false">
      <c r="A10" s="9" t="s">
        <v>496</v>
      </c>
      <c r="B10" s="37" t="s">
        <v>491</v>
      </c>
      <c r="C10" s="37" t="s">
        <v>471</v>
      </c>
      <c r="D10" s="37" t="s">
        <v>492</v>
      </c>
      <c r="E10" s="37" t="s">
        <v>497</v>
      </c>
      <c r="F10" s="37" t="s">
        <v>498</v>
      </c>
      <c r="G10" s="19" t="n">
        <v>3</v>
      </c>
      <c r="H10" s="19" t="n">
        <v>3.5</v>
      </c>
      <c r="I10" s="19" t="n">
        <v>6.67</v>
      </c>
      <c r="J10" s="19" t="n">
        <v>3.11</v>
      </c>
      <c r="K10" s="37" t="s">
        <v>475</v>
      </c>
      <c r="L10" s="19" t="n">
        <v>5</v>
      </c>
      <c r="M10" s="37"/>
    </row>
    <row r="11" customFormat="false" ht="15" hidden="false" customHeight="false" outlineLevel="0" collapsed="false">
      <c r="A11" s="9" t="s">
        <v>499</v>
      </c>
      <c r="B11" s="37" t="s">
        <v>500</v>
      </c>
      <c r="C11" s="37" t="s">
        <v>471</v>
      </c>
      <c r="D11" s="37" t="s">
        <v>501</v>
      </c>
      <c r="E11" s="37" t="s">
        <v>502</v>
      </c>
      <c r="F11" s="37" t="s">
        <v>503</v>
      </c>
      <c r="G11" s="19" t="n">
        <v>2.5</v>
      </c>
      <c r="H11" s="19" t="n">
        <v>3.5</v>
      </c>
      <c r="I11" s="19" t="n">
        <v>3.24</v>
      </c>
      <c r="J11" s="19" t="n">
        <v>1.944</v>
      </c>
      <c r="K11" s="37" t="s">
        <v>475</v>
      </c>
      <c r="L11" s="19" t="n">
        <v>15</v>
      </c>
      <c r="M11" s="37"/>
    </row>
    <row r="12" customFormat="false" ht="15" hidden="false" customHeight="false" outlineLevel="0" collapsed="false">
      <c r="A12" s="9" t="s">
        <v>504</v>
      </c>
      <c r="B12" s="37" t="s">
        <v>500</v>
      </c>
      <c r="C12" s="37" t="s">
        <v>471</v>
      </c>
      <c r="D12" s="37" t="s">
        <v>501</v>
      </c>
      <c r="E12" s="37" t="s">
        <v>505</v>
      </c>
      <c r="F12" s="37" t="s">
        <v>506</v>
      </c>
      <c r="G12" s="19" t="n">
        <v>1.5</v>
      </c>
      <c r="H12" s="19" t="n">
        <v>2.5</v>
      </c>
      <c r="I12" s="19" t="n">
        <v>3.24</v>
      </c>
      <c r="J12" s="19" t="n">
        <v>1.944</v>
      </c>
      <c r="K12" s="37" t="s">
        <v>475</v>
      </c>
      <c r="L12" s="19" t="n">
        <v>12</v>
      </c>
      <c r="M12" s="37"/>
    </row>
    <row r="13" customFormat="false" ht="15" hidden="false" customHeight="false" outlineLevel="0" collapsed="false">
      <c r="A13" s="9" t="s">
        <v>507</v>
      </c>
      <c r="B13" s="37" t="s">
        <v>500</v>
      </c>
      <c r="C13" s="37" t="s">
        <v>471</v>
      </c>
      <c r="D13" s="37" t="s">
        <v>501</v>
      </c>
      <c r="E13" s="37" t="s">
        <v>508</v>
      </c>
      <c r="F13" s="37" t="s">
        <v>509</v>
      </c>
      <c r="G13" s="19" t="n">
        <v>1.5</v>
      </c>
      <c r="H13" s="19" t="n">
        <v>2.2</v>
      </c>
      <c r="I13" s="19" t="n">
        <v>3.24</v>
      </c>
      <c r="J13" s="19" t="n">
        <v>1.944</v>
      </c>
      <c r="K13" s="37" t="s">
        <v>475</v>
      </c>
      <c r="L13" s="19" t="n">
        <v>5</v>
      </c>
      <c r="M13" s="37"/>
    </row>
    <row r="14" customFormat="false" ht="15" hidden="false" customHeight="false" outlineLevel="0" collapsed="false">
      <c r="A14" s="9" t="s">
        <v>510</v>
      </c>
      <c r="B14" s="37" t="s">
        <v>511</v>
      </c>
      <c r="C14" s="37" t="s">
        <v>471</v>
      </c>
      <c r="D14" s="37" t="s">
        <v>512</v>
      </c>
      <c r="E14" s="37" t="s">
        <v>502</v>
      </c>
      <c r="F14" s="37" t="s">
        <v>503</v>
      </c>
      <c r="G14" s="19" t="n">
        <v>0.25</v>
      </c>
      <c r="H14" s="19" t="n">
        <v>0.25</v>
      </c>
      <c r="I14" s="37"/>
      <c r="J14" s="37"/>
      <c r="K14" s="37" t="s">
        <v>513</v>
      </c>
      <c r="L14" s="19" t="n">
        <v>40</v>
      </c>
      <c r="M14" s="37" t="s">
        <v>514</v>
      </c>
    </row>
    <row r="15" customFormat="false" ht="15" hidden="false" customHeight="false" outlineLevel="0" collapsed="false">
      <c r="A15" s="9" t="s">
        <v>515</v>
      </c>
      <c r="B15" s="37" t="s">
        <v>516</v>
      </c>
      <c r="C15" s="37" t="s">
        <v>517</v>
      </c>
      <c r="D15" s="37" t="s">
        <v>518</v>
      </c>
      <c r="E15" s="37" t="s">
        <v>519</v>
      </c>
      <c r="F15" s="37" t="s">
        <v>520</v>
      </c>
      <c r="G15" s="19" t="n">
        <v>1</v>
      </c>
      <c r="H15" s="19" t="n">
        <v>1</v>
      </c>
      <c r="I15" s="37"/>
      <c r="J15" s="19" t="n">
        <v>0</v>
      </c>
      <c r="K15" s="37" t="s">
        <v>513</v>
      </c>
      <c r="L15" s="19" t="n">
        <v>24</v>
      </c>
      <c r="M15" s="37" t="s">
        <v>521</v>
      </c>
    </row>
    <row r="16" customFormat="false" ht="15" hidden="false" customHeight="false" outlineLevel="0" collapsed="false">
      <c r="A16" s="9" t="s">
        <v>522</v>
      </c>
      <c r="B16" s="37" t="s">
        <v>523</v>
      </c>
      <c r="C16" s="37" t="s">
        <v>524</v>
      </c>
      <c r="D16" s="37" t="s">
        <v>501</v>
      </c>
      <c r="E16" s="37" t="s">
        <v>502</v>
      </c>
      <c r="F16" s="37" t="s">
        <v>503</v>
      </c>
      <c r="G16" s="19" t="n">
        <v>4.2</v>
      </c>
      <c r="H16" s="19" t="n">
        <v>4.5</v>
      </c>
      <c r="I16" s="19" t="n">
        <v>4.54</v>
      </c>
      <c r="J16" s="19" t="n">
        <v>3.132</v>
      </c>
      <c r="K16" s="37" t="s">
        <v>475</v>
      </c>
      <c r="L16" s="19" t="n">
        <v>15</v>
      </c>
      <c r="M16" s="37" t="s">
        <v>525</v>
      </c>
    </row>
    <row r="17" customFormat="false" ht="15" hidden="false" customHeight="false" outlineLevel="0" collapsed="false">
      <c r="A17" s="9" t="s">
        <v>526</v>
      </c>
      <c r="B17" s="37" t="s">
        <v>527</v>
      </c>
      <c r="C17" s="37" t="s">
        <v>524</v>
      </c>
      <c r="D17" s="37" t="s">
        <v>501</v>
      </c>
      <c r="E17" s="37" t="s">
        <v>508</v>
      </c>
      <c r="F17" s="37" t="s">
        <v>509</v>
      </c>
      <c r="G17" s="19" t="n">
        <v>5.9</v>
      </c>
      <c r="H17" s="19" t="n">
        <v>6.1</v>
      </c>
      <c r="I17" s="19" t="n">
        <v>7.18</v>
      </c>
      <c r="J17" s="19" t="n">
        <v>5.018</v>
      </c>
      <c r="K17" s="37" t="s">
        <v>475</v>
      </c>
      <c r="L17" s="19" t="n">
        <v>5</v>
      </c>
      <c r="M17" s="37" t="s">
        <v>525</v>
      </c>
    </row>
    <row r="18" customFormat="false" ht="15" hidden="false" customHeight="false" outlineLevel="0" collapsed="false">
      <c r="A18" s="9" t="s">
        <v>528</v>
      </c>
      <c r="B18" s="37" t="s">
        <v>529</v>
      </c>
      <c r="C18" s="37" t="s">
        <v>530</v>
      </c>
      <c r="D18" s="37" t="s">
        <v>501</v>
      </c>
      <c r="E18" s="37" t="s">
        <v>502</v>
      </c>
      <c r="F18" s="37" t="s">
        <v>503</v>
      </c>
      <c r="G18" s="19" t="n">
        <v>6</v>
      </c>
      <c r="H18" s="19" t="n">
        <v>6</v>
      </c>
      <c r="I18" s="19" t="n">
        <v>9.5</v>
      </c>
      <c r="J18" s="19" t="n">
        <v>7.535</v>
      </c>
      <c r="K18" s="37" t="s">
        <v>475</v>
      </c>
      <c r="L18" s="19" t="n">
        <v>15</v>
      </c>
      <c r="M18" s="37" t="s">
        <v>531</v>
      </c>
    </row>
    <row r="19" customFormat="false" ht="15" hidden="false" customHeight="false" outlineLevel="0" collapsed="false">
      <c r="A19" s="9" t="s">
        <v>532</v>
      </c>
      <c r="B19" s="37" t="s">
        <v>533</v>
      </c>
      <c r="C19" s="37" t="s">
        <v>530</v>
      </c>
      <c r="D19" s="37" t="s">
        <v>492</v>
      </c>
      <c r="E19" s="37" t="s">
        <v>534</v>
      </c>
      <c r="F19" s="37" t="s">
        <v>535</v>
      </c>
      <c r="G19" s="19" t="n">
        <v>9</v>
      </c>
      <c r="H19" s="19" t="n">
        <v>9</v>
      </c>
      <c r="I19" s="19" t="n">
        <v>13.3</v>
      </c>
      <c r="J19" s="19" t="n">
        <v>9.519</v>
      </c>
      <c r="K19" s="37" t="s">
        <v>475</v>
      </c>
      <c r="L19" s="19" t="n">
        <v>2</v>
      </c>
      <c r="M19" s="37"/>
    </row>
    <row r="20" customFormat="false" ht="15" hidden="false" customHeight="false" outlineLevel="0" collapsed="false">
      <c r="A20" s="9" t="s">
        <v>536</v>
      </c>
      <c r="B20" s="37" t="s">
        <v>537</v>
      </c>
      <c r="C20" s="37" t="s">
        <v>524</v>
      </c>
      <c r="D20" s="37" t="s">
        <v>492</v>
      </c>
      <c r="E20" s="37" t="s">
        <v>538</v>
      </c>
      <c r="F20" s="37" t="s">
        <v>539</v>
      </c>
      <c r="G20" s="19" t="n">
        <v>4.5</v>
      </c>
      <c r="H20" s="19" t="n">
        <v>4.5</v>
      </c>
      <c r="I20" s="19" t="n">
        <v>4.85</v>
      </c>
      <c r="J20" s="19" t="n">
        <v>4.543</v>
      </c>
      <c r="K20" s="37" t="s">
        <v>475</v>
      </c>
      <c r="L20" s="19" t="n">
        <v>10</v>
      </c>
      <c r="M20" s="37" t="s">
        <v>540</v>
      </c>
    </row>
    <row r="21" customFormat="false" ht="15" hidden="false" customHeight="false" outlineLevel="0" collapsed="false">
      <c r="A21" s="9" t="s">
        <v>541</v>
      </c>
      <c r="B21" s="37" t="s">
        <v>542</v>
      </c>
      <c r="C21" s="37" t="s">
        <v>543</v>
      </c>
      <c r="D21" s="19" t="n">
        <v>2023</v>
      </c>
      <c r="E21" s="37" t="s">
        <v>544</v>
      </c>
      <c r="F21" s="37" t="s">
        <v>545</v>
      </c>
      <c r="G21" s="19" t="n">
        <v>1</v>
      </c>
      <c r="H21" s="19" t="n">
        <v>1</v>
      </c>
      <c r="I21" s="37"/>
      <c r="J21" s="19" t="n">
        <v>0</v>
      </c>
      <c r="K21" s="37" t="s">
        <v>475</v>
      </c>
      <c r="L21" s="19" t="n">
        <v>12</v>
      </c>
      <c r="M21" s="37" t="s">
        <v>546</v>
      </c>
    </row>
    <row r="22" customFormat="false" ht="15" hidden="false" customHeight="false" outlineLevel="0" collapsed="false">
      <c r="A22" s="9" t="s">
        <v>547</v>
      </c>
      <c r="B22" s="37" t="s">
        <v>548</v>
      </c>
      <c r="C22" s="37" t="s">
        <v>543</v>
      </c>
      <c r="D22" s="19" t="n">
        <v>2025</v>
      </c>
      <c r="E22" s="37" t="s">
        <v>544</v>
      </c>
      <c r="F22" s="37" t="s">
        <v>545</v>
      </c>
      <c r="G22" s="19" t="n">
        <v>1</v>
      </c>
      <c r="H22" s="19" t="n">
        <v>1</v>
      </c>
      <c r="I22" s="37"/>
      <c r="J22" s="19" t="n">
        <v>0</v>
      </c>
      <c r="K22" s="37" t="s">
        <v>475</v>
      </c>
      <c r="L22" s="19" t="n">
        <v>30</v>
      </c>
      <c r="M22" s="37" t="s">
        <v>549</v>
      </c>
    </row>
    <row r="23" customFormat="false" ht="15" hidden="false" customHeight="false" outlineLevel="0" collapsed="false">
      <c r="A23" s="9" t="s">
        <v>550</v>
      </c>
      <c r="B23" s="37" t="s">
        <v>551</v>
      </c>
      <c r="C23" s="37" t="s">
        <v>543</v>
      </c>
      <c r="D23" s="19" t="n">
        <v>2025</v>
      </c>
      <c r="E23" s="37" t="s">
        <v>502</v>
      </c>
      <c r="F23" s="37" t="s">
        <v>503</v>
      </c>
      <c r="G23" s="19" t="n">
        <v>1</v>
      </c>
      <c r="H23" s="19" t="n">
        <v>1</v>
      </c>
      <c r="I23" s="37"/>
      <c r="J23" s="19" t="n">
        <v>1</v>
      </c>
      <c r="K23" s="37" t="s">
        <v>475</v>
      </c>
      <c r="L23" s="19" t="n">
        <v>9</v>
      </c>
      <c r="M23" s="37" t="s">
        <v>552</v>
      </c>
    </row>
    <row r="24" customFormat="false" ht="15" hidden="false" customHeight="false" outlineLevel="0" collapsed="false">
      <c r="A24" s="9" t="s">
        <v>553</v>
      </c>
      <c r="B24" s="37" t="s">
        <v>554</v>
      </c>
      <c r="C24" s="37" t="s">
        <v>543</v>
      </c>
      <c r="D24" s="19" t="n">
        <v>2026</v>
      </c>
      <c r="E24" s="37" t="s">
        <v>502</v>
      </c>
      <c r="F24" s="37" t="s">
        <v>503</v>
      </c>
      <c r="G24" s="19" t="n">
        <v>1</v>
      </c>
      <c r="H24" s="19" t="n">
        <v>1</v>
      </c>
      <c r="I24" s="37"/>
      <c r="J24" s="19" t="n">
        <v>0.5</v>
      </c>
      <c r="K24" s="37" t="s">
        <v>475</v>
      </c>
      <c r="L24" s="19" t="n">
        <v>19</v>
      </c>
      <c r="M24" s="37" t="s">
        <v>555</v>
      </c>
    </row>
    <row r="25" customFormat="false" ht="15" hidden="false" customHeight="false" outlineLevel="0" collapsed="false">
      <c r="A25" s="9" t="s">
        <v>556</v>
      </c>
      <c r="B25" s="37" t="s">
        <v>557</v>
      </c>
      <c r="C25" s="37" t="s">
        <v>543</v>
      </c>
      <c r="D25" s="19" t="n">
        <v>2025</v>
      </c>
      <c r="E25" s="37" t="s">
        <v>502</v>
      </c>
      <c r="F25" s="37" t="s">
        <v>503</v>
      </c>
      <c r="G25" s="19" t="n">
        <v>1</v>
      </c>
      <c r="H25" s="19" t="n">
        <v>1</v>
      </c>
      <c r="I25" s="37"/>
      <c r="J25" s="19" t="n">
        <v>1</v>
      </c>
      <c r="K25" s="37" t="s">
        <v>475</v>
      </c>
      <c r="L25" s="19" t="n">
        <v>9</v>
      </c>
      <c r="M25" s="37" t="s">
        <v>558</v>
      </c>
    </row>
    <row r="26" customFormat="false" ht="15" hidden="false" customHeight="false" outlineLevel="0" collapsed="false">
      <c r="A26" s="9" t="s">
        <v>559</v>
      </c>
      <c r="B26" s="37" t="s">
        <v>560</v>
      </c>
      <c r="C26" s="37" t="s">
        <v>543</v>
      </c>
      <c r="D26" s="19" t="n">
        <v>2026</v>
      </c>
      <c r="E26" s="37" t="s">
        <v>561</v>
      </c>
      <c r="F26" s="37" t="s">
        <v>562</v>
      </c>
      <c r="G26" s="19" t="n">
        <v>1</v>
      </c>
      <c r="H26" s="19" t="n">
        <v>1</v>
      </c>
      <c r="I26" s="37"/>
      <c r="J26" s="19" t="n">
        <v>1</v>
      </c>
      <c r="K26" s="37" t="s">
        <v>475</v>
      </c>
      <c r="L26" s="19" t="n">
        <v>9</v>
      </c>
      <c r="M26" s="37" t="s">
        <v>563</v>
      </c>
    </row>
    <row r="27" customFormat="false" ht="15" hidden="false" customHeight="false" outlineLevel="0" collapsed="false">
      <c r="A27" s="9" t="s">
        <v>564</v>
      </c>
      <c r="B27" s="37" t="s">
        <v>565</v>
      </c>
      <c r="C27" s="37" t="s">
        <v>543</v>
      </c>
      <c r="D27" s="19" t="n">
        <v>2026</v>
      </c>
      <c r="E27" s="37" t="s">
        <v>561</v>
      </c>
      <c r="F27" s="37" t="s">
        <v>562</v>
      </c>
      <c r="G27" s="19" t="n">
        <v>1</v>
      </c>
      <c r="H27" s="19" t="n">
        <v>1</v>
      </c>
      <c r="I27" s="37"/>
      <c r="J27" s="19" t="n">
        <v>0</v>
      </c>
      <c r="K27" s="37" t="s">
        <v>475</v>
      </c>
      <c r="L27" s="19" t="n">
        <v>8</v>
      </c>
      <c r="M27" s="37" t="s">
        <v>566</v>
      </c>
    </row>
    <row r="29" customFormat="false" ht="15" hidden="false" customHeight="false" outlineLevel="0" collapsed="false">
      <c r="A29" s="8" t="s">
        <v>567</v>
      </c>
      <c r="B29" s="8" t="s">
        <v>568</v>
      </c>
      <c r="C29" s="8" t="s">
        <v>513</v>
      </c>
      <c r="D29" s="8" t="s">
        <v>569</v>
      </c>
      <c r="E29" s="8" t="s">
        <v>570</v>
      </c>
      <c r="F29" s="8" t="s">
        <v>571</v>
      </c>
      <c r="G29" s="8" t="s">
        <v>572</v>
      </c>
      <c r="H29" s="8" t="s">
        <v>573</v>
      </c>
      <c r="I29" s="8" t="s">
        <v>574</v>
      </c>
    </row>
    <row r="30" customFormat="false" ht="15" hidden="false" customHeight="false" outlineLevel="0" collapsed="false">
      <c r="A30" s="37" t="s">
        <v>471</v>
      </c>
      <c r="B30" s="37" t="n">
        <v>10</v>
      </c>
      <c r="C30" s="37" t="n">
        <v>1</v>
      </c>
      <c r="D30" s="21" t="n">
        <v>0.6</v>
      </c>
      <c r="E30" s="37" t="n">
        <v>0.178</v>
      </c>
      <c r="F30" s="37" t="n">
        <v>-0.049</v>
      </c>
      <c r="G30" s="37" t="n">
        <v>64.6</v>
      </c>
      <c r="H30" s="37" t="n">
        <v>54.9</v>
      </c>
      <c r="I30" s="37" t="n">
        <v>46.7</v>
      </c>
    </row>
    <row r="31" customFormat="false" ht="15" hidden="false" customHeight="false" outlineLevel="0" collapsed="false">
      <c r="A31" s="37" t="s">
        <v>524</v>
      </c>
      <c r="B31" s="37" t="n">
        <v>3</v>
      </c>
      <c r="C31" s="37" t="n">
        <v>0</v>
      </c>
      <c r="D31" s="21" t="n">
        <v>1</v>
      </c>
      <c r="E31" s="37" t="n">
        <v>0.119</v>
      </c>
      <c r="F31" s="37" t="n">
        <v>-0.145</v>
      </c>
      <c r="G31" s="37" t="n">
        <v>92</v>
      </c>
      <c r="H31" s="37" t="n">
        <v>78.2</v>
      </c>
      <c r="I31" s="37" t="n">
        <v>66.5</v>
      </c>
    </row>
    <row r="32" customFormat="false" ht="15" hidden="false" customHeight="false" outlineLevel="0" collapsed="false">
      <c r="A32" s="37" t="s">
        <v>530</v>
      </c>
      <c r="B32" s="37" t="n">
        <v>2</v>
      </c>
      <c r="C32" s="37" t="n">
        <v>0</v>
      </c>
      <c r="D32" s="21" t="n">
        <v>1</v>
      </c>
      <c r="E32" s="37" t="n">
        <v>0.099</v>
      </c>
      <c r="F32" s="37" t="n">
        <v>0.157</v>
      </c>
      <c r="G32" s="37" t="n">
        <v>90.9</v>
      </c>
      <c r="H32" s="37" t="n">
        <v>77.2</v>
      </c>
      <c r="I32" s="37" t="n">
        <v>65.6</v>
      </c>
    </row>
    <row r="33" customFormat="false" ht="15" hidden="false" customHeight="false" outlineLevel="0" collapsed="false">
      <c r="A33" s="37" t="s">
        <v>543</v>
      </c>
      <c r="B33" s="37" t="n">
        <v>7</v>
      </c>
      <c r="C33" s="37" t="n">
        <v>0</v>
      </c>
      <c r="D33" s="21" t="n">
        <v>0.5</v>
      </c>
      <c r="E33" s="37" t="n">
        <v>0.463</v>
      </c>
      <c r="F33" s="37"/>
      <c r="G33" s="37" t="n">
        <v>55.9</v>
      </c>
      <c r="H33" s="37" t="n">
        <v>47.5</v>
      </c>
      <c r="I33" s="37" t="n">
        <v>40.4</v>
      </c>
    </row>
    <row r="34" customFormat="false" ht="15" hidden="false" customHeight="false" outlineLevel="0" collapsed="false">
      <c r="A34" s="37" t="s">
        <v>517</v>
      </c>
      <c r="B34" s="37" t="n">
        <v>1</v>
      </c>
      <c r="C34" s="37" t="n">
        <v>1</v>
      </c>
      <c r="D34" s="21" t="n">
        <v>0</v>
      </c>
      <c r="E34" s="37" t="n">
        <v>0.5</v>
      </c>
      <c r="F34" s="37"/>
      <c r="G34" s="37" t="n">
        <v>14.2</v>
      </c>
      <c r="H34" s="37" t="n">
        <v>12</v>
      </c>
      <c r="I34" s="37" t="n">
        <v>10.2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2" min="2" style="0" width="13"/>
  </cols>
  <sheetData>
    <row r="1" customFormat="false" ht="17.35" hidden="false" customHeight="false" outlineLevel="0" collapsed="false">
      <c r="A1" s="1" t="s">
        <v>575</v>
      </c>
    </row>
    <row r="2" customFormat="false" ht="15" hidden="false" customHeight="false" outlineLevel="0" collapsed="false">
      <c r="A2" s="2" t="s">
        <v>576</v>
      </c>
    </row>
    <row r="4" customFormat="false" ht="15" hidden="false" customHeight="false" outlineLevel="0" collapsed="false">
      <c r="A4" s="8" t="s">
        <v>577</v>
      </c>
      <c r="B4" s="8" t="s">
        <v>578</v>
      </c>
      <c r="C4" s="8" t="s">
        <v>579</v>
      </c>
      <c r="D4" s="8" t="s">
        <v>580</v>
      </c>
      <c r="E4" s="8" t="s">
        <v>581</v>
      </c>
      <c r="F4" s="8" t="s">
        <v>582</v>
      </c>
      <c r="G4" s="8" t="s">
        <v>583</v>
      </c>
      <c r="H4" s="8" t="s">
        <v>584</v>
      </c>
      <c r="I4" s="8" t="s">
        <v>585</v>
      </c>
      <c r="J4" s="8" t="s">
        <v>586</v>
      </c>
      <c r="K4" s="8" t="s">
        <v>587</v>
      </c>
      <c r="L4" s="8" t="s">
        <v>588</v>
      </c>
    </row>
    <row r="5" customFormat="false" ht="15" hidden="false" customHeight="false" outlineLevel="0" collapsed="false">
      <c r="A5" s="9" t="s">
        <v>589</v>
      </c>
      <c r="B5" s="37" t="s">
        <v>590</v>
      </c>
      <c r="C5" s="37" t="s">
        <v>591</v>
      </c>
      <c r="D5" s="19" t="n">
        <v>3.713937</v>
      </c>
      <c r="E5" s="21" t="n">
        <v>0.269196004132542</v>
      </c>
      <c r="F5" s="21" t="n">
        <v>0.529772740416356</v>
      </c>
      <c r="G5" s="19" t="n">
        <v>3.308147</v>
      </c>
      <c r="H5" s="19" t="n">
        <v>1.010981</v>
      </c>
      <c r="I5" s="19" t="n">
        <v>34.162805917</v>
      </c>
      <c r="J5" s="19" t="n">
        <v>31.865639917</v>
      </c>
      <c r="K5" s="19" t="n">
        <v>8.58001627841291</v>
      </c>
      <c r="L5" s="19" t="n">
        <v>44.0974839869319</v>
      </c>
    </row>
    <row r="6" customFormat="false" ht="15" hidden="false" customHeight="false" outlineLevel="0" collapsed="false">
      <c r="A6" s="9" t="s">
        <v>592</v>
      </c>
      <c r="B6" s="37" t="s">
        <v>593</v>
      </c>
      <c r="C6" s="37" t="s">
        <v>591</v>
      </c>
      <c r="D6" s="19" t="n">
        <v>4.151316</v>
      </c>
      <c r="E6" s="21" t="n">
        <v>0.253848659075821</v>
      </c>
      <c r="F6" s="21" t="n">
        <v>1.17995866173346</v>
      </c>
      <c r="G6" s="19" t="n">
        <v>3.491289</v>
      </c>
      <c r="H6" s="19" t="n">
        <v>0</v>
      </c>
      <c r="I6" s="19" t="n">
        <v>60.587032523</v>
      </c>
      <c r="J6" s="19" t="n">
        <v>57.095743523</v>
      </c>
      <c r="K6" s="19" t="n">
        <v>13.753649089349</v>
      </c>
      <c r="L6" s="19" t="n">
        <v>46.8927177073377</v>
      </c>
    </row>
    <row r="7" customFormat="false" ht="15" hidden="false" customHeight="false" outlineLevel="0" collapsed="false">
      <c r="A7" s="9" t="s">
        <v>594</v>
      </c>
      <c r="B7" s="37" t="s">
        <v>593</v>
      </c>
      <c r="C7" s="37" t="s">
        <v>591</v>
      </c>
      <c r="D7" s="19" t="n">
        <v>58.739</v>
      </c>
      <c r="E7" s="21" t="n">
        <v>0.233967210882038</v>
      </c>
      <c r="F7" s="21" t="n">
        <v>0.0981821424788492</v>
      </c>
      <c r="G7" s="19" t="n">
        <v>5.741</v>
      </c>
      <c r="H7" s="19" t="n">
        <v>29.622</v>
      </c>
      <c r="I7" s="19" t="n">
        <v>258.397451551</v>
      </c>
      <c r="J7" s="19" t="n">
        <v>282.278451551</v>
      </c>
      <c r="K7" s="19" t="n">
        <v>4.80563938015628</v>
      </c>
      <c r="L7" s="19" t="n">
        <v>25.2711444059658</v>
      </c>
    </row>
    <row r="8" customFormat="false" ht="15" hidden="false" customHeight="false" outlineLevel="0" collapsed="false">
      <c r="A8" s="9" t="s">
        <v>595</v>
      </c>
      <c r="B8" s="37" t="s">
        <v>590</v>
      </c>
      <c r="C8" s="37" t="s">
        <v>591</v>
      </c>
      <c r="D8" s="19" t="n">
        <v>3.221253</v>
      </c>
      <c r="E8" s="21" t="n">
        <v>0.0463353856403083</v>
      </c>
      <c r="F8" s="21" t="n">
        <v>0.154007130544118</v>
      </c>
      <c r="G8" s="19" t="n">
        <v>0.874005</v>
      </c>
      <c r="H8" s="19" t="n">
        <v>4.186142</v>
      </c>
      <c r="I8" s="19" t="n">
        <v>11.517638661</v>
      </c>
      <c r="J8" s="19" t="n">
        <v>14.829775661</v>
      </c>
      <c r="K8" s="19" t="n">
        <v>4.60372894057064</v>
      </c>
      <c r="L8" s="19" t="n">
        <v>157.836412062161</v>
      </c>
    </row>
    <row r="9" customFormat="false" ht="15" hidden="false" customHeight="false" outlineLevel="0" collapsed="false">
      <c r="A9" s="9" t="s">
        <v>596</v>
      </c>
      <c r="B9" s="37" t="s">
        <v>593</v>
      </c>
      <c r="C9" s="37" t="s">
        <v>591</v>
      </c>
      <c r="D9" s="19" t="n">
        <v>3.265343521</v>
      </c>
      <c r="E9" s="21" t="n">
        <v>-0.48952925189031</v>
      </c>
      <c r="F9" s="21" t="n">
        <v>-0.450646940325824</v>
      </c>
      <c r="G9" s="19" t="n">
        <v>16.927129388</v>
      </c>
      <c r="H9" s="19" t="n">
        <v>0</v>
      </c>
      <c r="I9" s="19" t="n">
        <v>25.057635509</v>
      </c>
      <c r="J9" s="19" t="n">
        <v>8.130506121</v>
      </c>
      <c r="K9" s="19" t="n">
        <v>2.48993898152255</v>
      </c>
      <c r="L9" s="37"/>
    </row>
    <row r="10" customFormat="false" ht="15" hidden="false" customHeight="false" outlineLevel="0" collapsed="false">
      <c r="A10" s="9" t="s">
        <v>597</v>
      </c>
      <c r="B10" s="37" t="s">
        <v>590</v>
      </c>
      <c r="C10" s="37" t="s">
        <v>591</v>
      </c>
      <c r="D10" s="19" t="n">
        <v>0.00351</v>
      </c>
      <c r="E10" s="21" t="n">
        <v>-152.233618233618</v>
      </c>
      <c r="F10" s="21" t="n">
        <v>0.430924653185069</v>
      </c>
      <c r="G10" s="19" t="n">
        <v>2.364352</v>
      </c>
      <c r="H10" s="19" t="n">
        <v>0.586198</v>
      </c>
      <c r="I10" s="19" t="n">
        <v>5.267815735</v>
      </c>
      <c r="J10" s="19" t="n">
        <v>3.489661735</v>
      </c>
      <c r="K10" s="19" t="n">
        <v>994.205622507123</v>
      </c>
      <c r="L10" s="37"/>
    </row>
    <row r="11" customFormat="false" ht="15" hidden="false" customHeight="false" outlineLevel="0" collapsed="false">
      <c r="A11" s="9" t="s">
        <v>598</v>
      </c>
      <c r="B11" s="37" t="s">
        <v>590</v>
      </c>
      <c r="C11" s="37" t="s">
        <v>599</v>
      </c>
      <c r="D11" s="19" t="n">
        <v>2.320126</v>
      </c>
      <c r="E11" s="21" t="n">
        <v>0.375923979990742</v>
      </c>
      <c r="F11" s="21" t="n">
        <v>0.129275152074195</v>
      </c>
      <c r="G11" s="19" t="n">
        <v>1.384315</v>
      </c>
      <c r="H11" s="19" t="n">
        <v>0</v>
      </c>
      <c r="I11" s="19" t="n">
        <v>14.482839897</v>
      </c>
      <c r="J11" s="19" t="n">
        <v>13.098524897</v>
      </c>
      <c r="K11" s="19" t="n">
        <v>5.64560928889207</v>
      </c>
      <c r="L11" s="19" t="n">
        <v>18.5067660362651</v>
      </c>
    </row>
    <row r="12" customFormat="false" ht="15" hidden="false" customHeight="false" outlineLevel="0" collapsed="false">
      <c r="A12" s="9" t="s">
        <v>600</v>
      </c>
      <c r="B12" s="37" t="s">
        <v>593</v>
      </c>
      <c r="C12" s="37" t="s">
        <v>591</v>
      </c>
      <c r="D12" s="19" t="n">
        <v>43.32722211</v>
      </c>
      <c r="E12" s="21" t="n">
        <v>0.242813848838277</v>
      </c>
      <c r="F12" s="21" t="n">
        <v>0.0366417137443129</v>
      </c>
      <c r="G12" s="19" t="n">
        <v>4.50554301</v>
      </c>
      <c r="H12" s="19" t="n">
        <v>19.16944749</v>
      </c>
      <c r="I12" s="19" t="n">
        <v>100.589150632</v>
      </c>
      <c r="J12" s="19" t="n">
        <v>115.253055112</v>
      </c>
      <c r="K12" s="19" t="n">
        <v>2.66006103090093</v>
      </c>
      <c r="L12" s="19" t="n">
        <v>13.2680569797832</v>
      </c>
    </row>
    <row r="13" customFormat="false" ht="15" hidden="false" customHeight="false" outlineLevel="0" collapsed="false">
      <c r="A13" s="9" t="s">
        <v>601</v>
      </c>
      <c r="B13" s="37" t="s">
        <v>590</v>
      </c>
      <c r="C13" s="37" t="s">
        <v>591</v>
      </c>
      <c r="D13" s="19" t="n">
        <v>0.400016</v>
      </c>
      <c r="E13" s="21" t="n">
        <v>-0.0564427422903084</v>
      </c>
      <c r="F13" s="21" t="n">
        <v>0.318892313536844</v>
      </c>
      <c r="G13" s="19" t="n">
        <v>0.880211</v>
      </c>
      <c r="H13" s="19" t="n">
        <v>0.438695</v>
      </c>
      <c r="I13" s="19" t="n">
        <v>1.581007542</v>
      </c>
      <c r="J13" s="19" t="n">
        <v>1.139491542</v>
      </c>
      <c r="K13" s="19" t="n">
        <v>2.84861491040358</v>
      </c>
      <c r="L13" s="37"/>
    </row>
    <row r="14" customFormat="false" ht="15" hidden="false" customHeight="false" outlineLevel="0" collapsed="false">
      <c r="A14" s="9" t="s">
        <v>602</v>
      </c>
      <c r="B14" s="37" t="s">
        <v>590</v>
      </c>
      <c r="C14" s="37" t="s">
        <v>591</v>
      </c>
      <c r="D14" s="19" t="n">
        <v>5.141242</v>
      </c>
      <c r="E14" s="21" t="n">
        <v>0.313311063746853</v>
      </c>
      <c r="F14" s="21" t="n">
        <v>0.148395954783389</v>
      </c>
      <c r="G14" s="19" t="n">
        <v>3.928349</v>
      </c>
      <c r="H14" s="19" t="n">
        <v>0</v>
      </c>
      <c r="I14" s="19" t="n">
        <v>25.523700176</v>
      </c>
      <c r="J14" s="19" t="n">
        <v>21.595351176</v>
      </c>
      <c r="K14" s="19" t="n">
        <v>4.20041522573728</v>
      </c>
      <c r="L14" s="19" t="n">
        <v>17.826589040053</v>
      </c>
    </row>
    <row r="15" customFormat="false" ht="15" hidden="false" customHeight="false" outlineLevel="0" collapsed="false">
      <c r="A15" s="9" t="s">
        <v>603</v>
      </c>
      <c r="B15" s="37" t="s">
        <v>590</v>
      </c>
      <c r="C15" s="37" t="s">
        <v>591</v>
      </c>
      <c r="D15" s="19" t="n">
        <v>0.606423</v>
      </c>
      <c r="E15" s="21" t="n">
        <v>-1.3861957742368</v>
      </c>
      <c r="F15" s="21" t="n">
        <v>0.352047077920027</v>
      </c>
      <c r="G15" s="19" t="n">
        <v>1.160312</v>
      </c>
      <c r="H15" s="19" t="n">
        <v>0.54677</v>
      </c>
      <c r="I15" s="19" t="n">
        <v>25.842175158</v>
      </c>
      <c r="J15" s="19" t="n">
        <v>25.228633158</v>
      </c>
      <c r="K15" s="19" t="n">
        <v>41.6023685744109</v>
      </c>
      <c r="L15" s="37"/>
    </row>
    <row r="16" customFormat="false" ht="15" hidden="false" customHeight="false" outlineLevel="0" collapsed="false">
      <c r="A16" s="9" t="s">
        <v>604</v>
      </c>
      <c r="B16" s="37" t="s">
        <v>590</v>
      </c>
      <c r="C16" s="37" t="s">
        <v>591</v>
      </c>
      <c r="D16" s="19" t="n">
        <v>0.943711</v>
      </c>
      <c r="E16" s="21" t="n">
        <v>-0.629804039584152</v>
      </c>
      <c r="F16" s="21" t="n">
        <v>0.171232616469088</v>
      </c>
      <c r="G16" s="19" t="n">
        <v>2.70191</v>
      </c>
      <c r="H16" s="19" t="n">
        <v>1.812405</v>
      </c>
      <c r="I16" s="19" t="n">
        <v>7.709290698</v>
      </c>
      <c r="J16" s="19" t="n">
        <v>6.819785698</v>
      </c>
      <c r="K16" s="19" t="n">
        <v>7.22656162532809</v>
      </c>
      <c r="L16" s="37"/>
    </row>
    <row r="17" customFormat="false" ht="15" hidden="false" customHeight="false" outlineLevel="0" collapsed="false">
      <c r="A17" s="9" t="s">
        <v>605</v>
      </c>
      <c r="B17" s="37" t="s">
        <v>590</v>
      </c>
      <c r="C17" s="37" t="s">
        <v>606</v>
      </c>
      <c r="D17" s="19" t="n">
        <v>66.569</v>
      </c>
      <c r="E17" s="21" t="n">
        <v>0.0893508990671334</v>
      </c>
      <c r="F17" s="21" t="n">
        <v>0.0312221302788216</v>
      </c>
      <c r="G17" s="19" t="n">
        <v>8.363</v>
      </c>
      <c r="H17" s="19" t="n">
        <v>53.381</v>
      </c>
      <c r="I17" s="19" t="n">
        <v>366.59703369</v>
      </c>
      <c r="J17" s="19" t="n">
        <v>411.61503369</v>
      </c>
      <c r="K17" s="19" t="n">
        <v>6.18328401643408</v>
      </c>
      <c r="L17" s="19" t="n">
        <v>115.536411500158</v>
      </c>
    </row>
    <row r="18" customFormat="false" ht="15" hidden="false" customHeight="false" outlineLevel="0" collapsed="false">
      <c r="A18" s="9" t="s">
        <v>607</v>
      </c>
      <c r="B18" s="37" t="s">
        <v>590</v>
      </c>
      <c r="C18" s="37" t="s">
        <v>606</v>
      </c>
      <c r="D18" s="19" t="n">
        <v>0.413796</v>
      </c>
      <c r="E18" s="21" t="n">
        <v>-0.565798122746474</v>
      </c>
      <c r="F18" s="21" t="n">
        <v>-0.172382270515782</v>
      </c>
      <c r="G18" s="19" t="n">
        <v>0.71934</v>
      </c>
      <c r="H18" s="19" t="n">
        <v>0.29149</v>
      </c>
      <c r="I18" s="19" t="n">
        <v>1.773166555</v>
      </c>
      <c r="J18" s="19" t="n">
        <v>1.345316555</v>
      </c>
      <c r="K18" s="19" t="n">
        <v>3.25115891647092</v>
      </c>
      <c r="L18" s="37"/>
    </row>
    <row r="19" customFormat="false" ht="15" hidden="false" customHeight="false" outlineLevel="0" collapsed="false">
      <c r="A19" s="9" t="s">
        <v>608</v>
      </c>
      <c r="B19" s="37" t="s">
        <v>590</v>
      </c>
      <c r="C19" s="37" t="s">
        <v>591</v>
      </c>
      <c r="D19" s="19" t="n">
        <v>62.579</v>
      </c>
      <c r="E19" s="21" t="n">
        <v>0.120168107512105</v>
      </c>
      <c r="F19" s="21" t="n">
        <v>-0.145590761619622</v>
      </c>
      <c r="G19" s="19" t="n">
        <v>10.377</v>
      </c>
      <c r="H19" s="19" t="n">
        <v>63.1</v>
      </c>
      <c r="I19" s="19" t="n">
        <v>164.464081411</v>
      </c>
      <c r="J19" s="19" t="n">
        <v>217.187081411</v>
      </c>
      <c r="K19" s="19" t="n">
        <v>3.4706064560156</v>
      </c>
      <c r="L19" s="19" t="n">
        <v>21.163824657187</v>
      </c>
    </row>
    <row r="20" customFormat="false" ht="15" hidden="false" customHeight="false" outlineLevel="0" collapsed="false">
      <c r="A20" s="9" t="s">
        <v>609</v>
      </c>
      <c r="B20" s="37" t="s">
        <v>590</v>
      </c>
      <c r="C20" s="37" t="s">
        <v>591</v>
      </c>
      <c r="D20" s="19" t="n">
        <v>14.3429</v>
      </c>
      <c r="E20" s="21" t="n">
        <v>0.267944418492774</v>
      </c>
      <c r="F20" s="21" t="n">
        <v>0.0562035885799759</v>
      </c>
      <c r="G20" s="19" t="n">
        <v>17.8229</v>
      </c>
      <c r="H20" s="19" t="n">
        <v>1.9866</v>
      </c>
      <c r="I20" s="19" t="n">
        <v>77.878756348</v>
      </c>
      <c r="J20" s="19" t="n">
        <v>62.042456348</v>
      </c>
      <c r="K20" s="19" t="n">
        <v>4.32565634202288</v>
      </c>
      <c r="L20" s="19" t="n">
        <v>17.9912575017904</v>
      </c>
    </row>
    <row r="21" customFormat="false" ht="15" hidden="false" customHeight="false" outlineLevel="0" collapsed="false">
      <c r="A21" s="9" t="s">
        <v>610</v>
      </c>
      <c r="B21" s="37" t="s">
        <v>593</v>
      </c>
      <c r="C21" s="37" t="s">
        <v>591</v>
      </c>
      <c r="D21" s="19" t="n">
        <v>49.63722654</v>
      </c>
      <c r="E21" s="21" t="n">
        <v>0.145417870077477</v>
      </c>
      <c r="F21" s="21" t="n">
        <v>0.00485272219505384</v>
      </c>
      <c r="G21" s="19" t="n">
        <v>9.6143255</v>
      </c>
      <c r="H21" s="19" t="n">
        <v>21.27894858</v>
      </c>
      <c r="I21" s="19" t="n">
        <v>100.505181252</v>
      </c>
      <c r="J21" s="19" t="n">
        <v>112.169804332</v>
      </c>
      <c r="K21" s="19" t="n">
        <v>2.25979193744051</v>
      </c>
      <c r="L21" s="19" t="n">
        <v>11.3059878488135</v>
      </c>
    </row>
    <row r="22" customFormat="false" ht="15" hidden="false" customHeight="false" outlineLevel="0" collapsed="false">
      <c r="A22" s="9" t="s">
        <v>611</v>
      </c>
      <c r="B22" s="37" t="s">
        <v>590</v>
      </c>
      <c r="C22" s="37" t="s">
        <v>591</v>
      </c>
      <c r="D22" s="19" t="n">
        <v>12.0013</v>
      </c>
      <c r="E22" s="21" t="n">
        <v>0.398048544740986</v>
      </c>
      <c r="F22" s="21" t="n">
        <v>0.10352183400648</v>
      </c>
      <c r="G22" s="19" t="n">
        <v>13.6415</v>
      </c>
      <c r="H22" s="19" t="n">
        <v>0</v>
      </c>
      <c r="I22" s="19" t="n">
        <v>134.090967233</v>
      </c>
      <c r="J22" s="19" t="n">
        <v>120.449467233</v>
      </c>
      <c r="K22" s="19" t="n">
        <v>10.0363683295143</v>
      </c>
      <c r="L22" s="19" t="n">
        <v>30.439246171116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</cols>
  <sheetData>
    <row r="1" customFormat="false" ht="17.35" hidden="false" customHeight="false" outlineLevel="0" collapsed="false">
      <c r="A1" s="1" t="s">
        <v>612</v>
      </c>
    </row>
    <row r="3" customFormat="false" ht="15" hidden="false" customHeight="false" outlineLevel="0" collapsed="false">
      <c r="A3" s="8" t="s">
        <v>52</v>
      </c>
      <c r="B3" s="8" t="s">
        <v>613</v>
      </c>
    </row>
    <row r="4" customFormat="false" ht="15" hidden="false" customHeight="false" outlineLevel="0" collapsed="false">
      <c r="A4" s="9" t="s">
        <v>568</v>
      </c>
      <c r="B4" s="19" t="n">
        <v>20000</v>
      </c>
    </row>
    <row r="5" customFormat="false" ht="15" hidden="false" customHeight="false" outlineLevel="0" collapsed="false">
      <c r="A5" s="9" t="s">
        <v>62</v>
      </c>
      <c r="B5" s="19" t="n">
        <v>32.978244027056</v>
      </c>
    </row>
    <row r="6" customFormat="false" ht="15" hidden="false" customHeight="false" outlineLevel="0" collapsed="false">
      <c r="A6" s="9" t="s">
        <v>614</v>
      </c>
      <c r="B6" s="19" t="n">
        <v>23.8390785317783</v>
      </c>
    </row>
    <row r="7" customFormat="false" ht="15" hidden="false" customHeight="false" outlineLevel="0" collapsed="false">
      <c r="A7" s="9" t="s">
        <v>54</v>
      </c>
      <c r="B7" s="19" t="n">
        <v>6.90160125596957</v>
      </c>
    </row>
    <row r="8" customFormat="false" ht="15" hidden="false" customHeight="false" outlineLevel="0" collapsed="false">
      <c r="A8" s="9" t="s">
        <v>55</v>
      </c>
      <c r="B8" s="19" t="n">
        <v>6.90160125596957</v>
      </c>
    </row>
    <row r="9" customFormat="false" ht="15" hidden="false" customHeight="false" outlineLevel="0" collapsed="false">
      <c r="A9" s="9" t="s">
        <v>56</v>
      </c>
      <c r="B9" s="19" t="n">
        <v>14.1151529004899</v>
      </c>
    </row>
    <row r="10" customFormat="false" ht="15" hidden="false" customHeight="false" outlineLevel="0" collapsed="false">
      <c r="A10" s="9" t="s">
        <v>57</v>
      </c>
      <c r="B10" s="19" t="n">
        <v>28.557500697222</v>
      </c>
    </row>
    <row r="11" customFormat="false" ht="15" hidden="false" customHeight="false" outlineLevel="0" collapsed="false">
      <c r="A11" s="9" t="s">
        <v>58</v>
      </c>
      <c r="B11" s="19" t="n">
        <v>45.3258638199989</v>
      </c>
    </row>
    <row r="12" customFormat="false" ht="15" hidden="false" customHeight="false" outlineLevel="0" collapsed="false">
      <c r="A12" s="9" t="s">
        <v>59</v>
      </c>
      <c r="B12" s="19" t="n">
        <v>63.6353294338001</v>
      </c>
    </row>
    <row r="13" customFormat="false" ht="15" hidden="false" customHeight="false" outlineLevel="0" collapsed="false">
      <c r="A13" s="9" t="s">
        <v>60</v>
      </c>
      <c r="B13" s="19" t="n">
        <v>77.3098934169781</v>
      </c>
    </row>
    <row r="14" customFormat="false" ht="15" hidden="false" customHeight="false" outlineLevel="0" collapsed="false">
      <c r="A14" s="9" t="s">
        <v>615</v>
      </c>
      <c r="B14" s="19" t="n">
        <v>0.00025</v>
      </c>
    </row>
    <row r="15" customFormat="false" ht="15" hidden="false" customHeight="false" outlineLevel="0" collapsed="false">
      <c r="A15" s="9" t="s">
        <v>616</v>
      </c>
      <c r="B15" s="19" t="n">
        <v>5</v>
      </c>
    </row>
    <row r="16" customFormat="false" ht="15" hidden="false" customHeight="false" outlineLevel="0" collapsed="false">
      <c r="A16" s="9" t="s">
        <v>617</v>
      </c>
      <c r="B16" s="19" t="n">
        <v>0.87845</v>
      </c>
    </row>
    <row r="17" customFormat="false" ht="15" hidden="false" customHeight="false" outlineLevel="0" collapsed="false">
      <c r="A17" s="9" t="s">
        <v>618</v>
      </c>
      <c r="B17" s="19" t="n">
        <v>35.0676718815906</v>
      </c>
    </row>
    <row r="18" customFormat="false" ht="15" hidden="false" customHeight="false" outlineLevel="0" collapsed="false">
      <c r="A18" s="9" t="s">
        <v>619</v>
      </c>
      <c r="B18" s="19" t="n">
        <v>17.8778088249503</v>
      </c>
    </row>
    <row r="19" customFormat="false" ht="15" hidden="false" customHeight="false" outlineLevel="0" collapsed="false">
      <c r="A19" s="9" t="s">
        <v>620</v>
      </c>
      <c r="B19" s="19" t="n">
        <v>0.44955</v>
      </c>
    </row>
    <row r="20" customFormat="false" ht="15" hidden="false" customHeight="false" outlineLevel="0" collapsed="false">
      <c r="A20" s="9" t="s">
        <v>621</v>
      </c>
      <c r="B20" s="19" t="n">
        <v>0.14685</v>
      </c>
    </row>
    <row r="21" customFormat="false" ht="15" hidden="false" customHeight="false" outlineLevel="0" collapsed="false">
      <c r="A21" s="9" t="s">
        <v>622</v>
      </c>
      <c r="B21" s="19" t="n">
        <v>353.33163080688</v>
      </c>
    </row>
    <row r="22" customFormat="false" ht="15" hidden="false" customHeight="false" outlineLevel="0" collapsed="false">
      <c r="A22" s="9" t="s">
        <v>61</v>
      </c>
      <c r="B22" s="19" t="n">
        <v>108.531262600059</v>
      </c>
    </row>
    <row r="24" customFormat="false" ht="35.05" hidden="false" customHeight="false" outlineLevel="0" collapsed="false">
      <c r="A24" s="8" t="s">
        <v>623</v>
      </c>
      <c r="B24" s="8" t="s">
        <v>624</v>
      </c>
    </row>
    <row r="25" customFormat="false" ht="15" hidden="false" customHeight="false" outlineLevel="0" collapsed="false">
      <c r="A25" s="9" t="s">
        <v>625</v>
      </c>
      <c r="B25" s="20" t="n">
        <v>0.434</v>
      </c>
    </row>
    <row r="26" customFormat="false" ht="15" hidden="false" customHeight="false" outlineLevel="0" collapsed="false">
      <c r="A26" s="9" t="s">
        <v>626</v>
      </c>
      <c r="B26" s="20" t="n">
        <v>0.411</v>
      </c>
    </row>
    <row r="27" customFormat="false" ht="15" hidden="false" customHeight="false" outlineLevel="0" collapsed="false">
      <c r="A27" s="9" t="s">
        <v>627</v>
      </c>
      <c r="B27" s="20" t="n">
        <v>0.318</v>
      </c>
    </row>
    <row r="28" customFormat="false" ht="15" hidden="false" customHeight="false" outlineLevel="0" collapsed="false">
      <c r="A28" s="9" t="s">
        <v>628</v>
      </c>
      <c r="B28" s="20" t="n">
        <v>0.28</v>
      </c>
    </row>
    <row r="29" customFormat="false" ht="15" hidden="false" customHeight="false" outlineLevel="0" collapsed="false">
      <c r="A29" s="9" t="s">
        <v>629</v>
      </c>
      <c r="B29" s="20" t="n">
        <v>0.276</v>
      </c>
    </row>
    <row r="30" customFormat="false" ht="15" hidden="false" customHeight="false" outlineLevel="0" collapsed="false">
      <c r="A30" s="9" t="s">
        <v>630</v>
      </c>
      <c r="B30" s="20" t="n">
        <v>0.252</v>
      </c>
    </row>
    <row r="31" customFormat="false" ht="15" hidden="false" customHeight="false" outlineLevel="0" collapsed="false">
      <c r="A31" s="9" t="s">
        <v>631</v>
      </c>
      <c r="B31" s="20" t="n">
        <v>0.219</v>
      </c>
    </row>
    <row r="32" customFormat="false" ht="15" hidden="false" customHeight="false" outlineLevel="0" collapsed="false">
      <c r="A32" s="9" t="s">
        <v>632</v>
      </c>
      <c r="B32" s="20" t="n">
        <v>0.2</v>
      </c>
    </row>
    <row r="33" customFormat="false" ht="15" hidden="false" customHeight="false" outlineLevel="0" collapsed="false">
      <c r="A33" s="9" t="s">
        <v>633</v>
      </c>
      <c r="B33" s="20" t="n">
        <v>0.176</v>
      </c>
    </row>
    <row r="34" customFormat="false" ht="15" hidden="false" customHeight="false" outlineLevel="0" collapsed="false">
      <c r="A34" s="9" t="s">
        <v>634</v>
      </c>
      <c r="B34" s="20" t="n">
        <v>0.155</v>
      </c>
    </row>
    <row r="35" customFormat="false" ht="15" hidden="false" customHeight="false" outlineLevel="0" collapsed="false">
      <c r="A35" s="9" t="s">
        <v>163</v>
      </c>
      <c r="B35" s="20" t="n">
        <v>-0.119</v>
      </c>
    </row>
    <row r="36" customFormat="false" ht="15" hidden="false" customHeight="false" outlineLevel="0" collapsed="false">
      <c r="A36" s="9" t="s">
        <v>635</v>
      </c>
      <c r="B36" s="20" t="n">
        <v>0.07</v>
      </c>
    </row>
    <row r="37" customFormat="false" ht="15" hidden="false" customHeight="false" outlineLevel="0" collapsed="false">
      <c r="A37" s="9" t="s">
        <v>636</v>
      </c>
      <c r="B37" s="20" t="n">
        <v>-0.059</v>
      </c>
    </row>
    <row r="38" customFormat="false" ht="15" hidden="false" customHeight="false" outlineLevel="0" collapsed="false">
      <c r="A38" s="9" t="s">
        <v>637</v>
      </c>
      <c r="B38" s="20" t="n">
        <v>-0.057</v>
      </c>
    </row>
    <row r="39" customFormat="false" ht="15" hidden="false" customHeight="false" outlineLevel="0" collapsed="false">
      <c r="A39" s="9" t="s">
        <v>638</v>
      </c>
      <c r="B39" s="20" t="n">
        <v>-0.032</v>
      </c>
    </row>
    <row r="40" customFormat="false" ht="15" hidden="false" customHeight="false" outlineLevel="0" collapsed="false">
      <c r="A40" s="9" t="s">
        <v>164</v>
      </c>
      <c r="B40" s="20" t="n">
        <v>0.017</v>
      </c>
    </row>
    <row r="42" customFormat="false" ht="23.85" hidden="false" customHeight="false" outlineLevel="0" collapsed="false">
      <c r="A42" s="8" t="s">
        <v>639</v>
      </c>
      <c r="B42" s="8" t="s">
        <v>640</v>
      </c>
      <c r="C42" s="8" t="s">
        <v>641</v>
      </c>
    </row>
    <row r="43" customFormat="false" ht="15" hidden="false" customHeight="false" outlineLevel="0" collapsed="false">
      <c r="A43" s="16" t="n">
        <v>0</v>
      </c>
      <c r="B43" s="16" t="n">
        <v>5</v>
      </c>
      <c r="C43" s="21" t="n">
        <v>0</v>
      </c>
    </row>
    <row r="44" customFormat="false" ht="15" hidden="false" customHeight="false" outlineLevel="0" collapsed="false">
      <c r="A44" s="16" t="n">
        <v>5</v>
      </c>
      <c r="B44" s="16" t="n">
        <v>10</v>
      </c>
      <c r="C44" s="21" t="n">
        <v>0.18855</v>
      </c>
    </row>
    <row r="45" customFormat="false" ht="15" hidden="false" customHeight="false" outlineLevel="0" collapsed="false">
      <c r="A45" s="16" t="n">
        <v>10</v>
      </c>
      <c r="B45" s="16" t="n">
        <v>15</v>
      </c>
      <c r="C45" s="21" t="n">
        <v>0.07385</v>
      </c>
    </row>
    <row r="46" customFormat="false" ht="15" hidden="false" customHeight="false" outlineLevel="0" collapsed="false">
      <c r="A46" s="16" t="n">
        <v>15</v>
      </c>
      <c r="B46" s="16" t="n">
        <v>20</v>
      </c>
      <c r="C46" s="21" t="n">
        <v>0.08535</v>
      </c>
    </row>
    <row r="47" customFormat="false" ht="15" hidden="false" customHeight="false" outlineLevel="0" collapsed="false">
      <c r="A47" s="16" t="n">
        <v>20</v>
      </c>
      <c r="B47" s="16" t="n">
        <v>25</v>
      </c>
      <c r="C47" s="21" t="n">
        <v>0.0884</v>
      </c>
    </row>
    <row r="48" customFormat="false" ht="15" hidden="false" customHeight="false" outlineLevel="0" collapsed="false">
      <c r="A48" s="16" t="n">
        <v>25</v>
      </c>
      <c r="B48" s="16" t="n">
        <v>30</v>
      </c>
      <c r="C48" s="21" t="n">
        <v>0.08685</v>
      </c>
    </row>
    <row r="49" customFormat="false" ht="15" hidden="false" customHeight="false" outlineLevel="0" collapsed="false">
      <c r="A49" s="16" t="n">
        <v>30</v>
      </c>
      <c r="B49" s="16" t="n">
        <v>35</v>
      </c>
      <c r="C49" s="21" t="n">
        <v>0.0829</v>
      </c>
    </row>
    <row r="50" customFormat="false" ht="15" hidden="false" customHeight="false" outlineLevel="0" collapsed="false">
      <c r="A50" s="16" t="n">
        <v>35</v>
      </c>
      <c r="B50" s="16" t="n">
        <v>40</v>
      </c>
      <c r="C50" s="21" t="n">
        <v>0.0727</v>
      </c>
    </row>
    <row r="51" customFormat="false" ht="15" hidden="false" customHeight="false" outlineLevel="0" collapsed="false">
      <c r="A51" s="16" t="n">
        <v>40</v>
      </c>
      <c r="B51" s="16" t="n">
        <v>45</v>
      </c>
      <c r="C51" s="21" t="n">
        <v>0.06745</v>
      </c>
    </row>
    <row r="52" customFormat="false" ht="15" hidden="false" customHeight="false" outlineLevel="0" collapsed="false">
      <c r="A52" s="16" t="n">
        <v>45</v>
      </c>
      <c r="B52" s="16" t="n">
        <v>50</v>
      </c>
      <c r="C52" s="21" t="n">
        <v>0.0528</v>
      </c>
    </row>
    <row r="53" customFormat="false" ht="15" hidden="false" customHeight="false" outlineLevel="0" collapsed="false">
      <c r="A53" s="16" t="n">
        <v>50</v>
      </c>
      <c r="B53" s="16" t="n">
        <v>55</v>
      </c>
      <c r="C53" s="21" t="n">
        <v>0.0436</v>
      </c>
    </row>
    <row r="54" customFormat="false" ht="15" hidden="false" customHeight="false" outlineLevel="0" collapsed="false">
      <c r="A54" s="16" t="n">
        <v>55</v>
      </c>
      <c r="B54" s="16" t="n">
        <v>60</v>
      </c>
      <c r="C54" s="21" t="n">
        <v>0.03635</v>
      </c>
    </row>
    <row r="55" customFormat="false" ht="15" hidden="false" customHeight="false" outlineLevel="0" collapsed="false">
      <c r="A55" s="16" t="n">
        <v>60</v>
      </c>
      <c r="B55" s="16" t="n">
        <v>65</v>
      </c>
      <c r="C55" s="21" t="n">
        <v>0.0282</v>
      </c>
    </row>
    <row r="56" customFormat="false" ht="15" hidden="false" customHeight="false" outlineLevel="0" collapsed="false">
      <c r="A56" s="16" t="n">
        <v>65</v>
      </c>
      <c r="B56" s="16" t="n">
        <v>70</v>
      </c>
      <c r="C56" s="21" t="n">
        <v>0.0206</v>
      </c>
    </row>
    <row r="57" customFormat="false" ht="15" hidden="false" customHeight="false" outlineLevel="0" collapsed="false">
      <c r="A57" s="16" t="n">
        <v>70</v>
      </c>
      <c r="B57" s="16" t="n">
        <v>75</v>
      </c>
      <c r="C57" s="21" t="n">
        <v>0.01625</v>
      </c>
    </row>
    <row r="58" customFormat="false" ht="15" hidden="false" customHeight="false" outlineLevel="0" collapsed="false">
      <c r="A58" s="16" t="n">
        <v>75</v>
      </c>
      <c r="B58" s="16" t="n">
        <v>80</v>
      </c>
      <c r="C58" s="21" t="n">
        <v>0.013</v>
      </c>
    </row>
    <row r="59" customFormat="false" ht="15" hidden="false" customHeight="false" outlineLevel="0" collapsed="false">
      <c r="A59" s="16" t="n">
        <v>80</v>
      </c>
      <c r="B59" s="16" t="n">
        <v>85</v>
      </c>
      <c r="C59" s="21" t="n">
        <v>0.0101</v>
      </c>
    </row>
    <row r="60" customFormat="false" ht="15" hidden="false" customHeight="false" outlineLevel="0" collapsed="false">
      <c r="A60" s="16" t="n">
        <v>85</v>
      </c>
      <c r="B60" s="16" t="n">
        <v>90</v>
      </c>
      <c r="C60" s="21" t="n">
        <v>0.0067</v>
      </c>
    </row>
    <row r="61" customFormat="false" ht="15" hidden="false" customHeight="false" outlineLevel="0" collapsed="false">
      <c r="A61" s="16" t="n">
        <v>90</v>
      </c>
      <c r="B61" s="16" t="n">
        <v>95</v>
      </c>
      <c r="C61" s="21" t="n">
        <v>0.00545</v>
      </c>
    </row>
    <row r="62" customFormat="false" ht="15" hidden="false" customHeight="false" outlineLevel="0" collapsed="false">
      <c r="A62" s="16" t="n">
        <v>95</v>
      </c>
      <c r="B62" s="16" t="n">
        <v>100</v>
      </c>
      <c r="C62" s="21" t="n">
        <v>0.00445</v>
      </c>
    </row>
    <row r="63" customFormat="false" ht="15" hidden="false" customHeight="false" outlineLevel="0" collapsed="false">
      <c r="A63" s="16" t="n">
        <v>100</v>
      </c>
      <c r="B63" s="16" t="n">
        <v>105</v>
      </c>
      <c r="C63" s="21" t="n">
        <v>0.00395</v>
      </c>
    </row>
    <row r="64" customFormat="false" ht="15" hidden="false" customHeight="false" outlineLevel="0" collapsed="false">
      <c r="A64" s="16" t="n">
        <v>105</v>
      </c>
      <c r="B64" s="16" t="n">
        <v>110</v>
      </c>
      <c r="C64" s="21" t="n">
        <v>0.00295</v>
      </c>
    </row>
    <row r="65" customFormat="false" ht="15" hidden="false" customHeight="false" outlineLevel="0" collapsed="false">
      <c r="A65" s="16" t="n">
        <v>110</v>
      </c>
      <c r="B65" s="16" t="n">
        <v>115</v>
      </c>
      <c r="C65" s="21" t="n">
        <v>0.00205</v>
      </c>
    </row>
    <row r="66" customFormat="false" ht="15" hidden="false" customHeight="false" outlineLevel="0" collapsed="false">
      <c r="A66" s="16" t="n">
        <v>115</v>
      </c>
      <c r="B66" s="16" t="n">
        <v>120</v>
      </c>
      <c r="C66" s="21" t="n">
        <v>0.00125</v>
      </c>
    </row>
    <row r="67" customFormat="false" ht="15" hidden="false" customHeight="false" outlineLevel="0" collapsed="false">
      <c r="A67" s="16" t="n">
        <v>120</v>
      </c>
      <c r="B67" s="16" t="n">
        <v>125</v>
      </c>
      <c r="C67" s="21" t="n">
        <v>0.0013</v>
      </c>
    </row>
    <row r="68" customFormat="false" ht="15" hidden="false" customHeight="false" outlineLevel="0" collapsed="false">
      <c r="A68" s="9" t="s">
        <v>642</v>
      </c>
      <c r="C68" s="21" t="n">
        <v>0.00365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</cols>
  <sheetData>
    <row r="1" customFormat="false" ht="17.35" hidden="false" customHeight="false" outlineLevel="0" collapsed="false">
      <c r="A1" s="1" t="s">
        <v>643</v>
      </c>
    </row>
    <row r="3" customFormat="false" ht="15" hidden="false" customHeight="false" outlineLevel="0" collapsed="false">
      <c r="A3" s="8" t="s">
        <v>623</v>
      </c>
      <c r="B3" s="8" t="s">
        <v>30</v>
      </c>
      <c r="C3" s="8" t="s">
        <v>32</v>
      </c>
      <c r="D3" s="8" t="s">
        <v>644</v>
      </c>
    </row>
    <row r="4" customFormat="false" ht="15" hidden="false" customHeight="false" outlineLevel="0" collapsed="false">
      <c r="A4" s="9" t="s">
        <v>645</v>
      </c>
      <c r="B4" s="16" t="n">
        <v>15.7668358441606</v>
      </c>
      <c r="C4" s="16" t="n">
        <v>37.2895778150902</v>
      </c>
      <c r="D4" s="13" t="n">
        <f aca="false">C4-B4</f>
        <v>21.5227419709296</v>
      </c>
    </row>
    <row r="5" customFormat="false" ht="15" hidden="false" customHeight="false" outlineLevel="0" collapsed="false">
      <c r="A5" s="9" t="s">
        <v>646</v>
      </c>
      <c r="B5" s="16" t="n">
        <v>13.7830661204251</v>
      </c>
      <c r="C5" s="16" t="n">
        <v>30.7066312368525</v>
      </c>
      <c r="D5" s="13" t="n">
        <f aca="false">C5-B5</f>
        <v>16.9235651164274</v>
      </c>
    </row>
    <row r="6" customFormat="false" ht="15" hidden="false" customHeight="false" outlineLevel="0" collapsed="false">
      <c r="A6" s="9" t="s">
        <v>647</v>
      </c>
      <c r="B6" s="16" t="n">
        <v>20.0242534289137</v>
      </c>
      <c r="C6" s="16" t="n">
        <v>31.7450011501665</v>
      </c>
      <c r="D6" s="13" t="n">
        <f aca="false">C6-B6</f>
        <v>11.7207477212528</v>
      </c>
    </row>
    <row r="7" customFormat="false" ht="15" hidden="false" customHeight="false" outlineLevel="0" collapsed="false">
      <c r="A7" s="9" t="s">
        <v>648</v>
      </c>
      <c r="B7" s="16" t="n">
        <v>21.4131438297042</v>
      </c>
      <c r="C7" s="16" t="n">
        <v>32.8180512783748</v>
      </c>
      <c r="D7" s="13" t="n">
        <f aca="false">C7-B7</f>
        <v>11.4049074486706</v>
      </c>
    </row>
    <row r="8" customFormat="false" ht="15" hidden="false" customHeight="false" outlineLevel="0" collapsed="false">
      <c r="A8" s="9" t="s">
        <v>649</v>
      </c>
      <c r="B8" s="16" t="n">
        <v>22.0868029249627</v>
      </c>
      <c r="C8" s="16" t="n">
        <v>32.7411014649497</v>
      </c>
      <c r="D8" s="13" t="n">
        <f aca="false">C8-B8</f>
        <v>10.654298539987</v>
      </c>
    </row>
    <row r="9" customFormat="false" ht="15" hidden="false" customHeight="false" outlineLevel="0" collapsed="false">
      <c r="A9" s="9" t="s">
        <v>650</v>
      </c>
      <c r="B9" s="16" t="n">
        <v>22.4707850868748</v>
      </c>
      <c r="C9" s="16" t="n">
        <v>29.6796016952928</v>
      </c>
      <c r="D9" s="13" t="n">
        <f aca="false">C9-B9</f>
        <v>7.20881660841797</v>
      </c>
    </row>
    <row r="10" customFormat="false" ht="15" hidden="false" customHeight="false" outlineLevel="0" collapsed="false">
      <c r="A10" s="9" t="s">
        <v>651</v>
      </c>
      <c r="B10" s="16" t="n">
        <v>21.826743498615</v>
      </c>
      <c r="C10" s="16" t="n">
        <v>28.6990828424601</v>
      </c>
      <c r="D10" s="13" t="n">
        <f aca="false">C10-B10</f>
        <v>6.87233934384519</v>
      </c>
    </row>
    <row r="11" customFormat="false" ht="15" hidden="false" customHeight="false" outlineLevel="0" collapsed="false">
      <c r="A11" s="9" t="s">
        <v>652</v>
      </c>
      <c r="B11" s="16" t="n">
        <v>22.522062640018</v>
      </c>
      <c r="C11" s="16" t="n">
        <v>28.4737208829802</v>
      </c>
      <c r="D11" s="13" t="n">
        <f aca="false">C11-B11</f>
        <v>5.95165824296222</v>
      </c>
    </row>
    <row r="12" customFormat="false" ht="15" hidden="false" customHeight="false" outlineLevel="0" collapsed="false">
      <c r="A12" s="9" t="s">
        <v>653</v>
      </c>
      <c r="B12" s="16" t="n">
        <v>24.2278460289233</v>
      </c>
      <c r="C12" s="16" t="n">
        <v>28.1024621978145</v>
      </c>
      <c r="D12" s="13" t="n">
        <f aca="false">C12-B12</f>
        <v>3.87461616889115</v>
      </c>
    </row>
    <row r="13" customFormat="false" ht="15" hidden="false" customHeight="false" outlineLevel="0" collapsed="false">
      <c r="A13" s="9" t="s">
        <v>654</v>
      </c>
      <c r="B13" s="16" t="n">
        <v>24.1762647795952</v>
      </c>
      <c r="C13" s="16" t="n">
        <v>27.9517062383101</v>
      </c>
      <c r="D13" s="13" t="n">
        <f aca="false">C13-B13</f>
        <v>3.77544145871486</v>
      </c>
    </row>
    <row r="14" customFormat="false" ht="15" hidden="false" customHeight="false" outlineLevel="0" collapsed="false">
      <c r="A14" s="9" t="s">
        <v>655</v>
      </c>
      <c r="B14" s="16" t="n">
        <v>25.3213828946703</v>
      </c>
      <c r="C14" s="16" t="n">
        <v>28.1778346545459</v>
      </c>
      <c r="D14" s="13" t="n">
        <f aca="false">C14-B14</f>
        <v>2.85645175987557</v>
      </c>
    </row>
    <row r="15" customFormat="false" ht="15" hidden="false" customHeight="false" outlineLevel="0" collapsed="false">
      <c r="A15" s="9" t="s">
        <v>656</v>
      </c>
      <c r="B15" s="16" t="n">
        <v>25.4764052072019</v>
      </c>
      <c r="C15" s="16" t="n">
        <v>28.3316473516126</v>
      </c>
      <c r="D15" s="13" t="n">
        <f aca="false">C15-B15</f>
        <v>2.85524214441073</v>
      </c>
    </row>
    <row r="16" customFormat="false" ht="15" hidden="false" customHeight="false" outlineLevel="0" collapsed="false">
      <c r="A16" s="9" t="s">
        <v>657</v>
      </c>
      <c r="B16" s="16" t="n">
        <v>24.5421523139322</v>
      </c>
      <c r="C16" s="16" t="n">
        <v>27.2276907081175</v>
      </c>
      <c r="D16" s="13" t="n">
        <f aca="false">C16-B16</f>
        <v>2.68553839418534</v>
      </c>
    </row>
    <row r="17" customFormat="false" ht="15" hidden="false" customHeight="false" outlineLevel="0" collapsed="false">
      <c r="A17" s="9" t="s">
        <v>658</v>
      </c>
      <c r="B17" s="16" t="n">
        <v>25.4169494908027</v>
      </c>
      <c r="C17" s="16" t="n">
        <v>26.4757399577457</v>
      </c>
      <c r="D17" s="13" t="n">
        <f aca="false">C17-B17</f>
        <v>1.058790466943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3" min="2" style="0" width="70"/>
  </cols>
  <sheetData>
    <row r="1" customFormat="false" ht="17.35" hidden="false" customHeight="false" outlineLevel="0" collapsed="false">
      <c r="A1" s="1" t="s">
        <v>659</v>
      </c>
    </row>
    <row r="3" customFormat="false" ht="15" hidden="false" customHeight="false" outlineLevel="0" collapsed="false">
      <c r="A3" s="8" t="s">
        <v>660</v>
      </c>
      <c r="B3" s="8" t="s">
        <v>661</v>
      </c>
      <c r="C3" s="8" t="s">
        <v>662</v>
      </c>
    </row>
    <row r="4" customFormat="false" ht="15" hidden="false" customHeight="false" outlineLevel="0" collapsed="false">
      <c r="A4" s="9" t="s">
        <v>663</v>
      </c>
      <c r="B4" s="9" t="s">
        <v>664</v>
      </c>
      <c r="C4" s="9" t="s">
        <v>665</v>
      </c>
    </row>
    <row r="5" customFormat="false" ht="15" hidden="false" customHeight="false" outlineLevel="0" collapsed="false">
      <c r="A5" s="9" t="s">
        <v>666</v>
      </c>
      <c r="B5" s="9" t="s">
        <v>667</v>
      </c>
      <c r="C5" s="9" t="s">
        <v>668</v>
      </c>
    </row>
    <row r="6" customFormat="false" ht="15" hidden="false" customHeight="false" outlineLevel="0" collapsed="false">
      <c r="A6" s="9" t="s">
        <v>669</v>
      </c>
      <c r="B6" s="9" t="s">
        <v>670</v>
      </c>
      <c r="C6" s="9" t="s">
        <v>671</v>
      </c>
    </row>
    <row r="7" customFormat="false" ht="15" hidden="false" customHeight="false" outlineLevel="0" collapsed="false">
      <c r="A7" s="9" t="s">
        <v>672</v>
      </c>
      <c r="B7" s="9" t="s">
        <v>673</v>
      </c>
      <c r="C7" s="9" t="s">
        <v>674</v>
      </c>
    </row>
    <row r="8" customFormat="false" ht="15" hidden="false" customHeight="false" outlineLevel="0" collapsed="false">
      <c r="A8" s="9" t="s">
        <v>675</v>
      </c>
      <c r="B8" s="9" t="s">
        <v>676</v>
      </c>
      <c r="C8" s="9" t="s">
        <v>677</v>
      </c>
    </row>
    <row r="9" customFormat="false" ht="15" hidden="false" customHeight="false" outlineLevel="0" collapsed="false">
      <c r="A9" s="9" t="s">
        <v>678</v>
      </c>
      <c r="B9" s="9" t="s">
        <v>679</v>
      </c>
      <c r="C9" s="9" t="s">
        <v>680</v>
      </c>
    </row>
    <row r="10" customFormat="false" ht="15" hidden="false" customHeight="false" outlineLevel="0" collapsed="false">
      <c r="A10" s="9" t="s">
        <v>681</v>
      </c>
      <c r="B10" s="9" t="s">
        <v>682</v>
      </c>
      <c r="C10" s="9" t="s">
        <v>683</v>
      </c>
    </row>
    <row r="11" customFormat="false" ht="15" hidden="false" customHeight="false" outlineLevel="0" collapsed="false">
      <c r="A11" s="9" t="s">
        <v>684</v>
      </c>
      <c r="B11" s="9" t="s">
        <v>685</v>
      </c>
      <c r="C11" s="9" t="s">
        <v>686</v>
      </c>
    </row>
    <row r="12" customFormat="false" ht="15" hidden="false" customHeight="false" outlineLevel="0" collapsed="false">
      <c r="A12" s="9" t="s">
        <v>687</v>
      </c>
      <c r="B12" s="9" t="s">
        <v>688</v>
      </c>
      <c r="C12" s="9" t="s">
        <v>689</v>
      </c>
    </row>
    <row r="13" customFormat="false" ht="15" hidden="false" customHeight="false" outlineLevel="0" collapsed="false">
      <c r="A13" s="9" t="s">
        <v>690</v>
      </c>
      <c r="B13" s="9" t="s">
        <v>691</v>
      </c>
      <c r="C13" s="9" t="s">
        <v>692</v>
      </c>
    </row>
    <row r="14" customFormat="false" ht="15" hidden="false" customHeight="false" outlineLevel="0" collapsed="false">
      <c r="A14" s="9" t="s">
        <v>693</v>
      </c>
      <c r="B14" s="9" t="s">
        <v>694</v>
      </c>
      <c r="C14" s="9" t="s">
        <v>695</v>
      </c>
    </row>
    <row r="15" customFormat="false" ht="15" hidden="false" customHeight="false" outlineLevel="0" collapsed="false">
      <c r="A15" s="9" t="s">
        <v>696</v>
      </c>
      <c r="B15" s="9" t="s">
        <v>697</v>
      </c>
      <c r="C15" s="9" t="s">
        <v>698</v>
      </c>
    </row>
    <row r="16" customFormat="false" ht="15" hidden="false" customHeight="false" outlineLevel="0" collapsed="false">
      <c r="A16" s="9" t="s">
        <v>699</v>
      </c>
      <c r="B16" s="9" t="s">
        <v>700</v>
      </c>
      <c r="C16" s="9" t="s">
        <v>701</v>
      </c>
    </row>
    <row r="17" customFormat="false" ht="15" hidden="false" customHeight="false" outlineLevel="0" collapsed="false">
      <c r="A17" s="9" t="s">
        <v>702</v>
      </c>
      <c r="B17" s="9" t="s">
        <v>703</v>
      </c>
      <c r="C17" s="9" t="s">
        <v>704</v>
      </c>
    </row>
    <row r="18" customFormat="false" ht="15" hidden="false" customHeight="false" outlineLevel="0" collapsed="false">
      <c r="A18" s="9" t="s">
        <v>705</v>
      </c>
      <c r="B18" s="9" t="s">
        <v>706</v>
      </c>
      <c r="C18" s="9" t="s">
        <v>707</v>
      </c>
    </row>
    <row r="19" customFormat="false" ht="15" hidden="false" customHeight="false" outlineLevel="0" collapsed="false">
      <c r="A19" s="9" t="s">
        <v>708</v>
      </c>
      <c r="B19" s="9" t="s">
        <v>709</v>
      </c>
      <c r="C19" s="9" t="s">
        <v>710</v>
      </c>
    </row>
    <row r="20" customFormat="false" ht="15" hidden="false" customHeight="false" outlineLevel="0" collapsed="false">
      <c r="A20" s="9" t="s">
        <v>711</v>
      </c>
      <c r="B20" s="9" t="s">
        <v>712</v>
      </c>
      <c r="C20" s="9" t="s">
        <v>713</v>
      </c>
    </row>
    <row r="21" customFormat="false" ht="15" hidden="false" customHeight="false" outlineLevel="0" collapsed="false">
      <c r="A21" s="9" t="s">
        <v>714</v>
      </c>
      <c r="B21" s="9" t="s">
        <v>715</v>
      </c>
      <c r="C21" s="9" t="s">
        <v>716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2026-09-28T20:28:14Z</dcterms:created>
  <dc:creator>openpyxl</dc:creator>
  <dc:description/>
  <dc:language>en-US</dc:language>
  <cp:lastModifiedBy/>
  <dcterms:modified xsi:type="dcterms:W3CDTF">2026-09-28T20:28:15Z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